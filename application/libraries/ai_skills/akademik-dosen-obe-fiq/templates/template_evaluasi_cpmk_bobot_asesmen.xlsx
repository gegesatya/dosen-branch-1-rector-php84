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tunjuk" sheetId="1" state="visible" r:id="rId1"/>
    <sheet xmlns:r="http://schemas.openxmlformats.org/officeDocument/2006/relationships" name="Bobot CPMK" sheetId="2" state="visible" r:id="rId2"/>
    <sheet xmlns:r="http://schemas.openxmlformats.org/officeDocument/2006/relationships" name="Peta CPL" sheetId="3" state="visible" r:id="rId3"/>
    <sheet xmlns:r="http://schemas.openxmlformats.org/officeDocument/2006/relationships" name="Input Nilai" sheetId="4" state="visible" r:id="rId4"/>
    <sheet xmlns:r="http://schemas.openxmlformats.org/officeDocument/2006/relationships" name="Nilai CPMK per Mahasiswa" sheetId="5" state="visible" r:id="rId5"/>
    <sheet xmlns:r="http://schemas.openxmlformats.org/officeDocument/2006/relationships" name="Evaluasi Ketercapaian CPMK" sheetId="6" state="visible" r:id="rId6"/>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3"/>
    </font>
    <font>
      <i val="1"/>
    </font>
    <font>
      <b val="1"/>
    </font>
  </fonts>
  <fills count="3">
    <fill>
      <patternFill/>
    </fill>
    <fill>
      <patternFill patternType="gray125"/>
    </fill>
    <fill>
      <patternFill patternType="solid">
        <fgColor rgb="00F2F2F2"/>
      </patternFill>
    </fill>
  </fills>
  <borders count="5">
    <border>
      <left/>
      <right/>
      <top/>
      <bottom/>
      <diagonal/>
    </border>
    <border>
      <left style="thin">
        <color rgb="00000000"/>
      </left>
      <right style="thin">
        <color rgb="00000000"/>
      </right>
      <top style="thin">
        <color rgb="00000000"/>
      </top>
      <bottom style="thin">
        <color rgb="00000000"/>
      </bottom>
    </border>
    <border>
      <left style="thin">
        <color rgb="00000000"/>
      </left>
      <right/>
      <top/>
      <bottom/>
      <diagonal/>
    </border>
    <border>
      <left style="thin">
        <color rgb="00000000"/>
      </left>
      <right style="thin">
        <color rgb="00000000"/>
      </right>
      <top/>
      <bottom/>
      <diagonal/>
    </border>
    <border>
      <left style="thin">
        <color rgb="00000000"/>
      </left>
      <right style="thin">
        <color rgb="00000000"/>
      </right>
      <top/>
      <bottom style="thin">
        <color rgb="00000000"/>
      </bottom>
      <diagonal/>
    </border>
  </borders>
  <cellStyleXfs count="1">
    <xf numFmtId="0" fontId="0" fillId="0" borderId="0"/>
  </cellStyleXfs>
  <cellXfs count="17">
    <xf numFmtId="0" fontId="0" fillId="0" borderId="0" pivotButton="0" quotePrefix="0" xfId="0"/>
    <xf numFmtId="0" fontId="1" fillId="0" borderId="0" applyAlignment="1" pivotButton="0" quotePrefix="0" xfId="0">
      <alignment horizontal="left" vertical="center" wrapText="1"/>
    </xf>
    <xf numFmtId="0" fontId="2" fillId="0" borderId="0" applyAlignment="1" pivotButton="0" quotePrefix="0" xfId="0">
      <alignment horizontal="left" vertical="center" wrapText="1"/>
    </xf>
    <xf numFmtId="0" fontId="3" fillId="0" borderId="0" applyAlignment="1" pivotButton="0" quotePrefix="0" xfId="0">
      <alignment horizontal="left" vertical="center" wrapText="1"/>
    </xf>
    <xf numFmtId="0" fontId="0" fillId="0" borderId="0" applyAlignment="1" pivotButton="0" quotePrefix="0" xfId="0">
      <alignment horizontal="left" vertical="center" wrapText="1"/>
    </xf>
    <xf numFmtId="0" fontId="1" fillId="0" borderId="0" pivotButton="0" quotePrefix="0" xfId="0"/>
    <xf numFmtId="0" fontId="3" fillId="0" borderId="1" applyAlignment="1" pivotButton="0" quotePrefix="0" xfId="0">
      <alignment horizontal="center" vertical="center" wrapText="1"/>
    </xf>
    <xf numFmtId="0" fontId="0" fillId="0" borderId="1" applyAlignment="1" pivotButton="0" quotePrefix="0" xfId="0">
      <alignment horizontal="center" vertical="center" wrapText="1"/>
    </xf>
    <xf numFmtId="0" fontId="0" fillId="2" borderId="1" pivotButton="0" quotePrefix="0" xfId="0"/>
    <xf numFmtId="0" fontId="0" fillId="2" borderId="1" applyAlignment="1" pivotButton="0" quotePrefix="0" xfId="0">
      <alignment horizontal="left" vertical="center" wrapText="1"/>
    </xf>
    <xf numFmtId="0" fontId="0" fillId="2" borderId="1" applyAlignment="1" pivotButton="0" quotePrefix="0" xfId="0">
      <alignment horizontal="center" vertical="center" wrapText="1"/>
    </xf>
    <xf numFmtId="0" fontId="3" fillId="0" borderId="1" pivotButton="0" quotePrefix="0" xfId="0"/>
    <xf numFmtId="0" fontId="2" fillId="0" borderId="0" pivotButton="0" quotePrefix="0" xfId="0"/>
    <xf numFmtId="0" fontId="3" fillId="0" borderId="0" pivotButton="0" quotePrefix="0" xfId="0"/>
    <xf numFmtId="0" fontId="0" fillId="0" borderId="4" pivotButton="0" quotePrefix="0" xfId="0"/>
    <xf numFmtId="0" fontId="0" fillId="0" borderId="1" applyAlignment="1" pivotButton="0" quotePrefix="0" xfId="0">
      <alignment horizontal="left" vertical="center" wrapText="1"/>
    </xf>
    <xf numFmtId="9" fontId="0"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B24"/>
  <sheetViews>
    <sheetView workbookViewId="0">
      <selection activeCell="A1" sqref="A1"/>
    </sheetView>
  </sheetViews>
  <sheetFormatPr baseColWidth="8" defaultRowHeight="15" outlineLevelCol="0"/>
  <cols>
    <col width="110" customWidth="1" min="2" max="2"/>
  </cols>
  <sheetData>
    <row r="2" ht="20" customHeight="1">
      <c r="B2" s="1" t="inlineStr">
        <is>
          <t>PANDUAN PENGGUNAAN — Template Penilaian MK &amp; Evaluasi Ketercapaian CPMK</t>
        </is>
      </c>
    </row>
    <row r="3" ht="20" customHeight="1">
      <c r="B3" s="2" t="inlineStr">
        <is>
          <t>Template generik — berlaku untuk mata kuliah apa pun. Ganti [Nama Mata Kuliah] di setiap judul sheet.</t>
        </is>
      </c>
    </row>
    <row r="5" ht="20" customHeight="1">
      <c r="B5" s="3" t="inlineStr">
        <is>
          <t>Sheet "Bobot CPMK"</t>
        </is>
      </c>
    </row>
    <row r="6" ht="60" customHeight="1">
      <c r="B6" s="4" t="inlineStr">
        <is>
          <t>Diisi SEKALI di awal semester (idealnya sesuai RPS). Kolom instrumen (E s.d. M) mengikuti 9 komponen skema nilai resmi Politeknik WBI — Quiz (QUI), Tugas (TTS), UTS, UAS, Unjuk Kinerja (UKN), Proyek (PRY), Portofolio (POR), Produk (PRD), Presentasi (PRE) — plus kolom Sikap (N) yang dinilai holistik satu kali per mahasiswa. Kolom yang tidak dipakai MK Anda boleh dibiarkan 0/kosong. Isi "Bobot thd MK (%)" (kolom O, otomatis dari SUM instrumen) dan "Bobot thd CPMK (%)" (kolom P, porsi Sub-CPMK ini di antara sesama anggota CPMK-nya — harus 100% per kelompok CPMK; kolom Q &amp; R mengecek ini otomatis, tidak perlu mengetik nama CPMK satu-satu di rumus). Sel abu-abu muda boleh diisi/disesuaikan; jangan mengubah struktur/urutan baris karena sheet lain merujuk ke posisi baris ini.</t>
        </is>
      </c>
    </row>
    <row r="8" ht="20" customHeight="1">
      <c r="B8" s="3" t="inlineStr">
        <is>
          <t>Sheet "Peta CPL"</t>
        </is>
      </c>
    </row>
    <row r="9" ht="60" customHeight="1">
      <c r="B9" s="4" t="inlineStr">
        <is>
          <t>Diisi/disesuaikan SEKALI di awal semester. Tabel 1: daftar CPL yang dibebankan pada MK ini beserta rumusannya. Tabel 2: pemetaan CPMK ke CPL berupa matriks — kolom "Bobot thd MK (%)" terisi OTOMATIS (dijumlahkan dari sheet Bobot CPMK berdasarkan kode CPMK yang Anda ketik di kolom A). Isi 1 pada kolom kode CPL yang bersangkutan jika CPMK itu berkontribusi ke CPL tsb (satu CPMK boleh berkontribusi ke lebih dari satu CPL), kosongkan jika tidak. Dari peta inilah nilai CPL per mahasiswa dihitung otomatis.</t>
        </is>
      </c>
    </row>
    <row r="11" ht="20" customHeight="1">
      <c r="B11" s="3" t="inlineStr">
        <is>
          <t>Sheet "Input Nilai"</t>
        </is>
      </c>
    </row>
    <row r="12" ht="60" customHeight="1">
      <c r="B12" s="4" t="inlineStr">
        <is>
          <t>SATU-SATUNYA sheet yang perlu diisi dosen rutin per mahasiswa. Cukup isi kolom NIM, Nama, dan nilai (0-100) di sel abu-abu muda sesuai instrumen &amp; Sub-CPMK-nya, termasuk nilai Sikap (kolom terakhir sebelum hasil). Nilai Sikap cukup diisi SATU KALI per mahasiswa (berlaku untuk semua Sub-CPMK/CPMK). Baris kosong boleh dihapus/diisi; untuk menambah mahasiswa di luar 30 baris yang disediakan, salin (copy-paste) satu baris kosong paling bawah ke bawahnya agar formula ikut tersalin.</t>
        </is>
      </c>
    </row>
    <row r="14" ht="20" customHeight="1">
      <c r="B14" s="3" t="inlineStr">
        <is>
          <t>Sheet "Nilai CPMK per Mahasiswa"</t>
        </is>
      </c>
    </row>
    <row r="15" ht="60" customHeight="1">
      <c r="B15" s="4" t="inlineStr">
        <is>
          <t>Terisi OTOMATIS. Menampilkan nilai tiap Sub-CPMK, nilai tiap CPMK, nilai tiap CPL (hasil pemetaan di sheet "Peta CPL"), dan Nilai Akhir MK untuk setiap mahasiswa berdasarkan input di sheet "Input Nilai". Tidak perlu diisi manual. Kolom CPMK/CPL yang tidak Anda pakai (Peta CPL dibiarkan kosong) akan tampil kosong secara wajar.</t>
        </is>
      </c>
    </row>
    <row r="17" ht="20" customHeight="1">
      <c r="B17" s="3" t="inlineStr">
        <is>
          <t>Sheet "Evaluasi Ketercapaian CPMK"</t>
        </is>
      </c>
    </row>
    <row r="18" ht="60" customHeight="1">
      <c r="B18" s="4" t="inlineStr">
        <is>
          <t>Terisi OTOMATIS. Dashboard tingkat kelas dengan 4 bagian: (A) Sub-CPMK, (B) CPMK, (C) CPL, dan (D) ringkasan kelulusan MK — masing-masing menampilkan rata-rata, nilai tertinggi/terendah, jumlah &amp; persentase mahasiswa yang mencapai ambang batas, serta status "Tercapai / Belum Tercapai". Tiga parameter (di sheet Bobot CPMK, baris 17-19) bisa diubah sesuai kebijakan prodi/SPMI: Nilai Batas Lulus MK, Batas Nilai 'Tercapai' per mahasiswa, dan Batas % Kelas agar CPMK dianggap tercapai.</t>
        </is>
      </c>
    </row>
    <row r="20" ht="20" customHeight="1">
      <c r="B20" s="3" t="inlineStr">
        <is>
          <t>Catatan penting:</t>
        </is>
      </c>
    </row>
    <row r="21" ht="60" customHeight="1">
      <c r="B21" s="4" t="inlineStr">
        <is>
          <t>•  Alur perhitungan: Input Nilai -&gt; Nilai per Sub-CPMK (rata-rata tertimbang sesuai bobot instrumen di sheet Bobot CPMK) -&gt; Nilai per CPMK (rata-rata tertimbang antar Sub-CPMK, memakai kolom "Bobot thd CPMK") -&gt; Nilai per CPL (rata-rata tertimbang antar CPMK yang dipetakan, memakai "Bobot thd MK") -&gt; Nilai Akhir MK (jumlah kontribusi tiap CPMK, memakai "Bobot thd MK"). Satu rumus konsisten berlaku di semua baris/kolom.</t>
        </is>
      </c>
    </row>
    <row r="22" ht="60" customHeight="1">
      <c r="B22" s="4" t="inlineStr">
        <is>
          <t>•  Nilai Batas Lulus MK, Batas Nilai 'Tercapai', dan Batas % Kelas adalah PARAMETER — bukan ketentuan baku nasional. Isi sesuai pedoman akademik institusi/kebijakan SPMI Anda; jangan dibiarkan sebagai angka contoh tanpa validasi prodi.</t>
        </is>
      </c>
    </row>
    <row r="23" ht="60" customHeight="1">
      <c r="B23" s="4" t="inlineStr">
        <is>
          <t>•  Nilai CPL yang muncul di file ini adalah KONTRIBUSI dari MK ini SAJA. Sesuai Standar Penilaian (Pasal 26-27 Permendiktisaintek 39/2025), capaian CPL yang sesungguhnya diukur lintas seluruh mata kuliah dalam kurikulum yang membebankan CPL tersebut — biasanya direkap prodi di matriks CPL-MK tersendiri, menggabungkan angka dari file seperti ini untuk setiap MK.</t>
        </is>
      </c>
    </row>
    <row r="24" ht="60" customHeight="1">
      <c r="B24" s="4" t="inlineStr">
        <is>
          <t>•  Sheet ini menyediakan 8 baris Sub-CPMK, 8 baris CPMK unik, dan 6 kode CPL sebagai kapasitas maksimum — biarkan baris yang tidak dipakai kosong; jangan menghapus baris/kolom karena akan merusak rujukan rumus antar sheet. Bila MK Anda butuh lebih dari batas ini, salin pola kolom/baris yang sudah ada dan sesuaikan rentang rumusnya secara konsisten.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
  <sheetViews>
    <sheetView workbookViewId="0">
      <selection activeCell="A1" sqref="A1"/>
    </sheetView>
  </sheetViews>
  <sheetFormatPr baseColWidth="8" defaultRowHeight="15" outlineLevelCol="0"/>
  <cols>
    <col width="4" customWidth="1" min="1" max="1"/>
    <col width="10" customWidth="1" min="2" max="2"/>
    <col width="14" customWidth="1" min="3" max="3"/>
    <col width="34" customWidth="1" min="4" max="4"/>
    <col width="6.5" customWidth="1" min="5" max="5"/>
    <col width="6.5" customWidth="1" min="6" max="6"/>
    <col width="6.5" customWidth="1" min="7" max="7"/>
    <col width="6.5" customWidth="1" min="8" max="8"/>
    <col width="6.5" customWidth="1" min="9" max="9"/>
    <col width="6.5" customWidth="1" min="10" max="10"/>
    <col width="6.5" customWidth="1" min="11" max="11"/>
    <col width="6.5" customWidth="1" min="12" max="12"/>
    <col width="6.5" customWidth="1" min="13" max="13"/>
    <col width="7" customWidth="1" min="14" max="14"/>
    <col width="9" customWidth="1" min="15" max="15"/>
    <col width="9" customWidth="1" min="16" max="16"/>
    <col width="10" customWidth="1" min="17" max="17"/>
    <col width="30" customWidth="1" min="18" max="18"/>
    <col width="3" customWidth="1" min="19" max="19"/>
    <col width="10" customWidth="1" min="20" max="20"/>
  </cols>
  <sheetData>
    <row r="1">
      <c r="A1" s="5" t="inlineStr">
        <is>
          <t>BOBOT PENILAIAN PER SUB-CPMK — [Nama Mata Kuliah]</t>
        </is>
      </c>
    </row>
    <row r="2" ht="30" customHeight="1">
      <c r="A2" s="2" t="inlineStr">
        <is>
          <t>Sel abu-abu muda = boleh diisi/disesuaikan. Jangan ubah urutan/posisi baris Sub-CPMK. Kolom instrumen (E s.d. M) + Sikap (N) mengikuti 9+1 komponen skema nilai resmi Politeknik WBI — kolom yang tidak dipakai MK ini boleh dibiarkan kosong/0.</t>
        </is>
      </c>
    </row>
    <row r="3">
      <c r="A3" s="6" t="inlineStr">
        <is>
          <t>No</t>
        </is>
      </c>
      <c r="B3" s="6" t="inlineStr">
        <is>
          <t>CPMK</t>
        </is>
      </c>
      <c r="C3" s="6" t="inlineStr">
        <is>
          <t>Sub-CPMK</t>
        </is>
      </c>
      <c r="D3" s="6" t="inlineStr">
        <is>
          <t>Bahan Kajian / Kemampuan Akhir</t>
        </is>
      </c>
      <c r="E3" s="6" t="inlineStr">
        <is>
          <t>QUI
(%)</t>
        </is>
      </c>
      <c r="F3" s="6" t="inlineStr">
        <is>
          <t>TTS
(%)</t>
        </is>
      </c>
      <c r="G3" s="6" t="inlineStr">
        <is>
          <t>UTS
(%)</t>
        </is>
      </c>
      <c r="H3" s="6" t="inlineStr">
        <is>
          <t>UAS
(%)</t>
        </is>
      </c>
      <c r="I3" s="6" t="inlineStr">
        <is>
          <t>UKN
(%)</t>
        </is>
      </c>
      <c r="J3" s="6" t="inlineStr">
        <is>
          <t>PRY
(%)</t>
        </is>
      </c>
      <c r="K3" s="6" t="inlineStr">
        <is>
          <t>POR
(%)</t>
        </is>
      </c>
      <c r="L3" s="6" t="inlineStr">
        <is>
          <t>PRD
(%)</t>
        </is>
      </c>
      <c r="M3" s="6" t="inlineStr">
        <is>
          <t>PRE
(%)</t>
        </is>
      </c>
      <c r="N3" s="6" t="inlineStr">
        <is>
          <t>Sikap
(%)</t>
        </is>
      </c>
      <c r="O3" s="6" t="inlineStr">
        <is>
          <t>Bobot thd
MK (%)</t>
        </is>
      </c>
      <c r="P3" s="6" t="inlineStr">
        <is>
          <t>Bobot thd
CPMK (%)</t>
        </is>
      </c>
      <c r="Q3" s="6" t="inlineStr">
        <is>
          <t>Cek Bobot
thd CPMK</t>
        </is>
      </c>
      <c r="R3" s="6" t="inlineStr">
        <is>
          <t>Status</t>
        </is>
      </c>
    </row>
    <row r="4">
      <c r="A4" s="7" t="n">
        <v>1</v>
      </c>
      <c r="B4" s="8" t="n"/>
      <c r="C4" s="8" t="n"/>
      <c r="D4" s="9" t="n"/>
      <c r="E4" s="10" t="n">
        <v>0</v>
      </c>
      <c r="F4" s="10" t="n">
        <v>0</v>
      </c>
      <c r="G4" s="10" t="n">
        <v>0</v>
      </c>
      <c r="H4" s="10" t="n">
        <v>0</v>
      </c>
      <c r="I4" s="10" t="n">
        <v>0</v>
      </c>
      <c r="J4" s="10" t="n">
        <v>0</v>
      </c>
      <c r="K4" s="10" t="n">
        <v>0</v>
      </c>
      <c r="L4" s="10" t="n">
        <v>0</v>
      </c>
      <c r="M4" s="10" t="n">
        <v>0</v>
      </c>
      <c r="N4" s="10" t="n">
        <v>0</v>
      </c>
      <c r="O4" s="7">
        <f>SUM(E4:N4)</f>
        <v/>
      </c>
      <c r="P4" s="10" t="n">
        <v>0</v>
      </c>
      <c r="Q4" s="7">
        <f>IF(B4="","",SUMIF($B$4:$B$11,B4,$P$4:$P$11))</f>
        <v/>
      </c>
      <c r="R4" s="7">
        <f>IF(Q4="","",IF(Q4=100,"OK","!! PERIKSA"))</f>
        <v/>
      </c>
    </row>
    <row r="5">
      <c r="A5" s="7" t="n">
        <v>2</v>
      </c>
      <c r="B5" s="8" t="n"/>
      <c r="C5" s="8" t="n"/>
      <c r="D5" s="9" t="n"/>
      <c r="E5" s="10" t="n">
        <v>0</v>
      </c>
      <c r="F5" s="10" t="n">
        <v>0</v>
      </c>
      <c r="G5" s="10" t="n">
        <v>0</v>
      </c>
      <c r="H5" s="10" t="n">
        <v>0</v>
      </c>
      <c r="I5" s="10" t="n">
        <v>0</v>
      </c>
      <c r="J5" s="10" t="n">
        <v>0</v>
      </c>
      <c r="K5" s="10" t="n">
        <v>0</v>
      </c>
      <c r="L5" s="10" t="n">
        <v>0</v>
      </c>
      <c r="M5" s="10" t="n">
        <v>0</v>
      </c>
      <c r="N5" s="10" t="n">
        <v>0</v>
      </c>
      <c r="O5" s="7">
        <f>SUM(E5:N5)</f>
        <v/>
      </c>
      <c r="P5" s="10" t="n">
        <v>0</v>
      </c>
      <c r="Q5" s="7">
        <f>IF(B5="","",SUMIF($B$4:$B$11,B5,$P$4:$P$11))</f>
        <v/>
      </c>
      <c r="R5" s="7">
        <f>IF(Q5="","",IF(Q5=100,"OK","!! PERIKSA"))</f>
        <v/>
      </c>
    </row>
    <row r="6">
      <c r="A6" s="7" t="n">
        <v>3</v>
      </c>
      <c r="B6" s="8" t="n"/>
      <c r="C6" s="8" t="n"/>
      <c r="D6" s="9" t="n"/>
      <c r="E6" s="10" t="n">
        <v>0</v>
      </c>
      <c r="F6" s="10" t="n">
        <v>0</v>
      </c>
      <c r="G6" s="10" t="n">
        <v>0</v>
      </c>
      <c r="H6" s="10" t="n">
        <v>0</v>
      </c>
      <c r="I6" s="10" t="n">
        <v>0</v>
      </c>
      <c r="J6" s="10" t="n">
        <v>0</v>
      </c>
      <c r="K6" s="10" t="n">
        <v>0</v>
      </c>
      <c r="L6" s="10" t="n">
        <v>0</v>
      </c>
      <c r="M6" s="10" t="n">
        <v>0</v>
      </c>
      <c r="N6" s="10" t="n">
        <v>0</v>
      </c>
      <c r="O6" s="7">
        <f>SUM(E6:N6)</f>
        <v/>
      </c>
      <c r="P6" s="10" t="n">
        <v>0</v>
      </c>
      <c r="Q6" s="7">
        <f>IF(B6="","",SUMIF($B$4:$B$11,B6,$P$4:$P$11))</f>
        <v/>
      </c>
      <c r="R6" s="7">
        <f>IF(Q6="","",IF(Q6=100,"OK","!! PERIKSA"))</f>
        <v/>
      </c>
    </row>
    <row r="7">
      <c r="A7" s="7" t="n">
        <v>4</v>
      </c>
      <c r="B7" s="8" t="n"/>
      <c r="C7" s="8" t="n"/>
      <c r="D7" s="9" t="n"/>
      <c r="E7" s="10" t="n">
        <v>0</v>
      </c>
      <c r="F7" s="10" t="n">
        <v>0</v>
      </c>
      <c r="G7" s="10" t="n">
        <v>0</v>
      </c>
      <c r="H7" s="10" t="n">
        <v>0</v>
      </c>
      <c r="I7" s="10" t="n">
        <v>0</v>
      </c>
      <c r="J7" s="10" t="n">
        <v>0</v>
      </c>
      <c r="K7" s="10" t="n">
        <v>0</v>
      </c>
      <c r="L7" s="10" t="n">
        <v>0</v>
      </c>
      <c r="M7" s="10" t="n">
        <v>0</v>
      </c>
      <c r="N7" s="10" t="n">
        <v>0</v>
      </c>
      <c r="O7" s="7">
        <f>SUM(E7:N7)</f>
        <v/>
      </c>
      <c r="P7" s="10" t="n">
        <v>0</v>
      </c>
      <c r="Q7" s="7">
        <f>IF(B7="","",SUMIF($B$4:$B$11,B7,$P$4:$P$11))</f>
        <v/>
      </c>
      <c r="R7" s="7">
        <f>IF(Q7="","",IF(Q7=100,"OK","!! PERIKSA"))</f>
        <v/>
      </c>
    </row>
    <row r="8">
      <c r="A8" s="7" t="n">
        <v>5</v>
      </c>
      <c r="B8" s="8" t="n"/>
      <c r="C8" s="8" t="n"/>
      <c r="D8" s="9" t="n"/>
      <c r="E8" s="10" t="n">
        <v>0</v>
      </c>
      <c r="F8" s="10" t="n">
        <v>0</v>
      </c>
      <c r="G8" s="10" t="n">
        <v>0</v>
      </c>
      <c r="H8" s="10" t="n">
        <v>0</v>
      </c>
      <c r="I8" s="10" t="n">
        <v>0</v>
      </c>
      <c r="J8" s="10" t="n">
        <v>0</v>
      </c>
      <c r="K8" s="10" t="n">
        <v>0</v>
      </c>
      <c r="L8" s="10" t="n">
        <v>0</v>
      </c>
      <c r="M8" s="10" t="n">
        <v>0</v>
      </c>
      <c r="N8" s="10" t="n">
        <v>0</v>
      </c>
      <c r="O8" s="7">
        <f>SUM(E8:N8)</f>
        <v/>
      </c>
      <c r="P8" s="10" t="n">
        <v>0</v>
      </c>
      <c r="Q8" s="7">
        <f>IF(B8="","",SUMIF($B$4:$B$11,B8,$P$4:$P$11))</f>
        <v/>
      </c>
      <c r="R8" s="7">
        <f>IF(Q8="","",IF(Q8=100,"OK","!! PERIKSA"))</f>
        <v/>
      </c>
    </row>
    <row r="9">
      <c r="A9" s="7" t="n">
        <v>6</v>
      </c>
      <c r="B9" s="8" t="n"/>
      <c r="C9" s="8" t="n"/>
      <c r="D9" s="9" t="n"/>
      <c r="E9" s="10" t="n">
        <v>0</v>
      </c>
      <c r="F9" s="10" t="n">
        <v>0</v>
      </c>
      <c r="G9" s="10" t="n">
        <v>0</v>
      </c>
      <c r="H9" s="10" t="n">
        <v>0</v>
      </c>
      <c r="I9" s="10" t="n">
        <v>0</v>
      </c>
      <c r="J9" s="10" t="n">
        <v>0</v>
      </c>
      <c r="K9" s="10" t="n">
        <v>0</v>
      </c>
      <c r="L9" s="10" t="n">
        <v>0</v>
      </c>
      <c r="M9" s="10" t="n">
        <v>0</v>
      </c>
      <c r="N9" s="10" t="n">
        <v>0</v>
      </c>
      <c r="O9" s="7">
        <f>SUM(E9:N9)</f>
        <v/>
      </c>
      <c r="P9" s="10" t="n">
        <v>0</v>
      </c>
      <c r="Q9" s="7">
        <f>IF(B9="","",SUMIF($B$4:$B$11,B9,$P$4:$P$11))</f>
        <v/>
      </c>
      <c r="R9" s="7">
        <f>IF(Q9="","",IF(Q9=100,"OK","!! PERIKSA"))</f>
        <v/>
      </c>
    </row>
    <row r="10">
      <c r="A10" s="7" t="n">
        <v>7</v>
      </c>
      <c r="B10" s="8" t="n"/>
      <c r="C10" s="8" t="n"/>
      <c r="D10" s="9" t="n"/>
      <c r="E10" s="10" t="n">
        <v>0</v>
      </c>
      <c r="F10" s="10" t="n">
        <v>0</v>
      </c>
      <c r="G10" s="10" t="n">
        <v>0</v>
      </c>
      <c r="H10" s="10" t="n">
        <v>0</v>
      </c>
      <c r="I10" s="10" t="n">
        <v>0</v>
      </c>
      <c r="J10" s="10" t="n">
        <v>0</v>
      </c>
      <c r="K10" s="10" t="n">
        <v>0</v>
      </c>
      <c r="L10" s="10" t="n">
        <v>0</v>
      </c>
      <c r="M10" s="10" t="n">
        <v>0</v>
      </c>
      <c r="N10" s="10" t="n">
        <v>0</v>
      </c>
      <c r="O10" s="7">
        <f>SUM(E10:N10)</f>
        <v/>
      </c>
      <c r="P10" s="10" t="n">
        <v>0</v>
      </c>
      <c r="Q10" s="7">
        <f>IF(B10="","",SUMIF($B$4:$B$11,B10,$P$4:$P$11))</f>
        <v/>
      </c>
      <c r="R10" s="7">
        <f>IF(Q10="","",IF(Q10=100,"OK","!! PERIKSA"))</f>
        <v/>
      </c>
    </row>
    <row r="11">
      <c r="A11" s="7" t="n">
        <v>8</v>
      </c>
      <c r="B11" s="8" t="n"/>
      <c r="C11" s="8" t="n"/>
      <c r="D11" s="9" t="n"/>
      <c r="E11" s="10" t="n">
        <v>0</v>
      </c>
      <c r="F11" s="10" t="n">
        <v>0</v>
      </c>
      <c r="G11" s="10" t="n">
        <v>0</v>
      </c>
      <c r="H11" s="10" t="n">
        <v>0</v>
      </c>
      <c r="I11" s="10" t="n">
        <v>0</v>
      </c>
      <c r="J11" s="10" t="n">
        <v>0</v>
      </c>
      <c r="K11" s="10" t="n">
        <v>0</v>
      </c>
      <c r="L11" s="10" t="n">
        <v>0</v>
      </c>
      <c r="M11" s="10" t="n">
        <v>0</v>
      </c>
      <c r="N11" s="10" t="n">
        <v>0</v>
      </c>
      <c r="O11" s="7">
        <f>SUM(E11:N11)</f>
        <v/>
      </c>
      <c r="P11" s="10" t="n">
        <v>0</v>
      </c>
      <c r="Q11" s="7">
        <f>IF(B11="","",SUMIF($B$4:$B$11,B11,$P$4:$P$11))</f>
        <v/>
      </c>
      <c r="R11" s="7">
        <f>IF(Q11="","",IF(Q11=100,"OK","!! PERIKSA"))</f>
        <v/>
      </c>
    </row>
    <row r="12">
      <c r="D12" s="11" t="inlineStr">
        <is>
          <t>TOTAL BOBOT</t>
        </is>
      </c>
      <c r="E12" s="6">
        <f>SUM(E4:E11)</f>
        <v/>
      </c>
      <c r="F12" s="6">
        <f>SUM(F4:F11)</f>
        <v/>
      </c>
      <c r="G12" s="6">
        <f>SUM(G4:G11)</f>
        <v/>
      </c>
      <c r="H12" s="6">
        <f>SUM(H4:H11)</f>
        <v/>
      </c>
      <c r="I12" s="6">
        <f>SUM(I4:I11)</f>
        <v/>
      </c>
      <c r="J12" s="6">
        <f>SUM(J4:J11)</f>
        <v/>
      </c>
      <c r="K12" s="6">
        <f>SUM(K4:K11)</f>
        <v/>
      </c>
      <c r="L12" s="6">
        <f>SUM(L4:L11)</f>
        <v/>
      </c>
      <c r="M12" s="6">
        <f>SUM(M4:M11)</f>
        <v/>
      </c>
      <c r="N12" s="6">
        <f>SUM(N4:N11)</f>
        <v/>
      </c>
      <c r="O12" s="6">
        <f>SUM(O4:O11)</f>
        <v/>
      </c>
    </row>
    <row r="13">
      <c r="D13" s="12" t="inlineStr">
        <is>
          <t>Cek total bobot thd MK harus = 100%:</t>
        </is>
      </c>
      <c r="O13" s="6">
        <f>IF(O12=100,"OK 100%","!! PERIKSA: "&amp;O12&amp;"%")</f>
        <v/>
      </c>
    </row>
    <row r="15">
      <c r="B15" s="13" t="inlineStr">
        <is>
          <t>PARAMETER PENILAIAN (boleh disesuaikan dengan pedoman akademik institusi/SPMI)</t>
        </is>
      </c>
    </row>
    <row r="16">
      <c r="B16" s="13" t="inlineStr">
        <is>
          <t>Skala Nilai Huruf</t>
        </is>
      </c>
    </row>
    <row r="17">
      <c r="B17" s="6" t="inlineStr">
        <is>
          <t>Batas Bawah</t>
        </is>
      </c>
      <c r="C17" s="6" t="inlineStr">
        <is>
          <t>Huruf</t>
        </is>
      </c>
      <c r="D17" s="6" t="inlineStr">
        <is>
          <t>Bobot</t>
        </is>
      </c>
      <c r="R17" s="13" t="inlineStr">
        <is>
          <t>Nilai Batas Lulus MK</t>
        </is>
      </c>
      <c r="T17" s="10" t="n"/>
    </row>
    <row r="18">
      <c r="B18" s="10" t="n">
        <v>0</v>
      </c>
      <c r="C18" s="10" t="inlineStr">
        <is>
          <t>E</t>
        </is>
      </c>
      <c r="D18" s="10" t="n">
        <v>0</v>
      </c>
    </row>
    <row r="19">
      <c r="B19" s="10" t="n">
        <v>50</v>
      </c>
      <c r="C19" s="10" t="inlineStr">
        <is>
          <t>D</t>
        </is>
      </c>
      <c r="D19" s="10" t="n">
        <v>1</v>
      </c>
      <c r="R19" s="13" t="inlineStr">
        <is>
          <t>Batas Nilai 'Tercapai' per Mhs (Sub-CPMK/CPMK)</t>
        </is>
      </c>
      <c r="T19" s="10" t="n"/>
    </row>
    <row r="20">
      <c r="B20" s="10" t="n">
        <v>60</v>
      </c>
      <c r="C20" s="10" t="inlineStr">
        <is>
          <t>C</t>
        </is>
      </c>
      <c r="D20" s="10" t="n">
        <v>2</v>
      </c>
      <c r="R20" s="13" t="inlineStr">
        <is>
          <t>Batas % Kelas agar CPMK Dianggap Tercapai</t>
        </is>
      </c>
      <c r="T20" s="10" t="n"/>
    </row>
    <row r="21">
      <c r="B21" s="10" t="n">
        <v>70</v>
      </c>
      <c r="C21" s="10" t="inlineStr">
        <is>
          <t>B</t>
        </is>
      </c>
      <c r="D21" s="10" t="n">
        <v>3</v>
      </c>
    </row>
    <row r="22">
      <c r="B22" s="10" t="n">
        <v>80</v>
      </c>
      <c r="C22" s="10" t="inlineStr">
        <is>
          <t>A</t>
        </is>
      </c>
      <c r="D22" s="10" t="n">
        <v>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outlineLevelCol="0"/>
  <cols>
    <col width="10" customWidth="1" min="1" max="1"/>
    <col width="55" customWidth="1" min="2" max="2"/>
    <col width="12" customWidth="1" min="3" max="3"/>
    <col width="6.5" customWidth="1" min="4" max="4"/>
    <col width="6.5" customWidth="1" min="5" max="5"/>
    <col width="6.5" customWidth="1" min="6" max="6"/>
    <col width="6.5" customWidth="1" min="7" max="7"/>
    <col width="6.5" customWidth="1" min="8" max="8"/>
    <col width="6.5" customWidth="1" min="9" max="9"/>
  </cols>
  <sheetData>
    <row r="1">
      <c r="A1" s="5" t="inlineStr">
        <is>
          <t>PETA CPL &amp; PEMETAAN CPMK — [Nama Mata Kuliah]</t>
        </is>
      </c>
    </row>
    <row r="2" ht="30" customHeight="1">
      <c r="A2" s="2" t="inlineStr">
        <is>
          <t>Nilai CPL di sini adalah KONTRIBUSI mata kuliah ini saja, bukan capaian CPL final (CPL dicapai lintas beberapa mata kuliah dalam kurikulum — lihat catatan di sheet Petunjuk).</t>
        </is>
      </c>
    </row>
    <row r="3">
      <c r="A3" s="13" t="inlineStr">
        <is>
          <t>1. CPL yang Dibebankan pada Mata Kuliah</t>
        </is>
      </c>
    </row>
    <row r="4">
      <c r="A4" s="6" t="inlineStr">
        <is>
          <t>Kode</t>
        </is>
      </c>
      <c r="B4" s="6" t="inlineStr">
        <is>
          <t>Rumusan CPL yang Dibebankan</t>
        </is>
      </c>
    </row>
    <row r="5">
      <c r="A5" s="10" t="n"/>
      <c r="B5" s="9" t="n"/>
    </row>
    <row r="6">
      <c r="A6" s="10" t="n"/>
      <c r="B6" s="9" t="n"/>
    </row>
    <row r="7">
      <c r="A7" s="10" t="n"/>
      <c r="B7" s="9" t="n"/>
    </row>
    <row r="8">
      <c r="A8" s="10" t="n"/>
      <c r="B8" s="9" t="n"/>
    </row>
    <row r="9">
      <c r="A9" s="10" t="n"/>
      <c r="B9" s="9" t="n"/>
    </row>
    <row r="10">
      <c r="A10" s="10" t="n"/>
      <c r="B10" s="9" t="n"/>
    </row>
    <row r="12">
      <c r="A12" s="13" t="inlineStr">
        <is>
          <t>2. Pemetaan CPMK ke CPL — isi 1 jika CPMK berkontribusi ke CPL tsb, kosongkan jika tidak</t>
        </is>
      </c>
    </row>
    <row r="13">
      <c r="A13" s="6" t="inlineStr">
        <is>
          <t>CPMK</t>
        </is>
      </c>
      <c r="B13" s="6" t="inlineStr">
        <is>
          <t>Rumusan CPMK</t>
        </is>
      </c>
      <c r="C13" s="6" t="inlineStr">
        <is>
          <t>Bobot thd
MK (%)</t>
        </is>
      </c>
      <c r="D13" s="6">
        <f>A5</f>
        <v/>
      </c>
      <c r="E13" s="6">
        <f>A6</f>
        <v/>
      </c>
      <c r="F13" s="6">
        <f>A7</f>
        <v/>
      </c>
      <c r="G13" s="6">
        <f>A8</f>
        <v/>
      </c>
      <c r="H13" s="6">
        <f>A9</f>
        <v/>
      </c>
      <c r="I13" s="6">
        <f>A10</f>
        <v/>
      </c>
    </row>
    <row r="14">
      <c r="A14" s="10" t="n"/>
      <c r="B14" s="9" t="n"/>
      <c r="C14" s="7">
        <f>IF(A14="","",SUMIF('Bobot CPMK'!$B$4:$B$11,A14,'Bobot CPMK'!$O$4:$O$11))</f>
        <v/>
      </c>
      <c r="D14" s="10" t="n"/>
      <c r="E14" s="10" t="n"/>
      <c r="F14" s="10" t="n"/>
      <c r="G14" s="10" t="n"/>
      <c r="H14" s="10" t="n"/>
      <c r="I14" s="10" t="n"/>
    </row>
    <row r="15">
      <c r="A15" s="10" t="n"/>
      <c r="B15" s="9" t="n"/>
      <c r="C15" s="7">
        <f>IF(A15="","",SUMIF('Bobot CPMK'!$B$4:$B$11,A15,'Bobot CPMK'!$O$4:$O$11))</f>
        <v/>
      </c>
      <c r="D15" s="10" t="n"/>
      <c r="E15" s="10" t="n"/>
      <c r="F15" s="10" t="n"/>
      <c r="G15" s="10" t="n"/>
      <c r="H15" s="10" t="n"/>
      <c r="I15" s="10" t="n"/>
    </row>
    <row r="16">
      <c r="A16" s="10" t="n"/>
      <c r="B16" s="9" t="n"/>
      <c r="C16" s="7">
        <f>IF(A16="","",SUMIF('Bobot CPMK'!$B$4:$B$11,A16,'Bobot CPMK'!$O$4:$O$11))</f>
        <v/>
      </c>
      <c r="D16" s="10" t="n"/>
      <c r="E16" s="10" t="n"/>
      <c r="F16" s="10" t="n"/>
      <c r="G16" s="10" t="n"/>
      <c r="H16" s="10" t="n"/>
      <c r="I16" s="10" t="n"/>
    </row>
    <row r="17">
      <c r="A17" s="10" t="n"/>
      <c r="B17" s="9" t="n"/>
      <c r="C17" s="7">
        <f>IF(A17="","",SUMIF('Bobot CPMK'!$B$4:$B$11,A17,'Bobot CPMK'!$O$4:$O$11))</f>
        <v/>
      </c>
      <c r="D17" s="10" t="n"/>
      <c r="E17" s="10" t="n"/>
      <c r="F17" s="10" t="n"/>
      <c r="G17" s="10" t="n"/>
      <c r="H17" s="10" t="n"/>
      <c r="I17" s="10" t="n"/>
    </row>
    <row r="18">
      <c r="A18" s="10" t="n"/>
      <c r="B18" s="9" t="n"/>
      <c r="C18" s="7">
        <f>IF(A18="","",SUMIF('Bobot CPMK'!$B$4:$B$11,A18,'Bobot CPMK'!$O$4:$O$11))</f>
        <v/>
      </c>
      <c r="D18" s="10" t="n"/>
      <c r="E18" s="10" t="n"/>
      <c r="F18" s="10" t="n"/>
      <c r="G18" s="10" t="n"/>
      <c r="H18" s="10" t="n"/>
      <c r="I18" s="10" t="n"/>
    </row>
    <row r="19">
      <c r="A19" s="10" t="n"/>
      <c r="B19" s="9" t="n"/>
      <c r="C19" s="7">
        <f>IF(A19="","",SUMIF('Bobot CPMK'!$B$4:$B$11,A19,'Bobot CPMK'!$O$4:$O$11))</f>
        <v/>
      </c>
      <c r="D19" s="10" t="n"/>
      <c r="E19" s="10" t="n"/>
      <c r="F19" s="10" t="n"/>
      <c r="G19" s="10" t="n"/>
      <c r="H19" s="10" t="n"/>
      <c r="I19" s="10" t="n"/>
    </row>
    <row r="20">
      <c r="A20" s="10" t="n"/>
      <c r="B20" s="9" t="n"/>
      <c r="C20" s="7">
        <f>IF(A20="","",SUMIF('Bobot CPMK'!$B$4:$B$11,A20,'Bobot CPMK'!$O$4:$O$11))</f>
        <v/>
      </c>
      <c r="D20" s="10" t="n"/>
      <c r="E20" s="10" t="n"/>
      <c r="F20" s="10" t="n"/>
      <c r="G20" s="10" t="n"/>
      <c r="H20" s="10" t="n"/>
      <c r="I20" s="10" t="n"/>
    </row>
    <row r="21">
      <c r="A21" s="10" t="n"/>
      <c r="B21" s="9" t="n"/>
      <c r="C21" s="7">
        <f>IF(A21="","",SUMIF('Bobot CPMK'!$B$4:$B$11,A21,'Bobot CPMK'!$O$4:$O$11))</f>
        <v/>
      </c>
      <c r="D21" s="10" t="n"/>
      <c r="E21" s="10" t="n"/>
      <c r="F21" s="10" t="n"/>
      <c r="G21" s="10" t="n"/>
      <c r="H21" s="10" t="n"/>
      <c r="I21" s="10"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A34"/>
  <sheetViews>
    <sheetView workbookViewId="0">
      <selection activeCell="A1" sqref="A1"/>
    </sheetView>
  </sheetViews>
  <sheetFormatPr baseColWidth="8" defaultRowHeight="15" outlineLevelCol="0"/>
  <cols>
    <col width="4" customWidth="1" min="1" max="1"/>
    <col width="12" customWidth="1" min="2" max="2"/>
    <col width="20" customWidth="1" min="3" max="3"/>
    <col width="6" customWidth="1" min="4" max="4"/>
    <col width="6" customWidth="1" min="5" max="5"/>
    <col width="6" customWidth="1" min="6" max="6"/>
    <col width="6" customWidth="1" min="7" max="7"/>
    <col width="6" customWidth="1" min="8" max="8"/>
    <col width="6" customWidth="1" min="9" max="9"/>
    <col width="6" customWidth="1" min="10" max="10"/>
    <col width="6" customWidth="1" min="11" max="11"/>
    <col width="6" customWidth="1" min="12" max="12"/>
    <col width="6" customWidth="1" min="13" max="13"/>
    <col width="6" customWidth="1" min="14" max="14"/>
    <col width="6" customWidth="1" min="15" max="15"/>
    <col width="6" customWidth="1" min="16" max="16"/>
    <col width="6" customWidth="1" min="17" max="17"/>
    <col width="6" customWidth="1" min="18" max="18"/>
    <col width="6" customWidth="1" min="19" max="19"/>
    <col width="6" customWidth="1" min="20" max="20"/>
    <col width="6" customWidth="1" min="21" max="21"/>
    <col width="6" customWidth="1" min="22" max="22"/>
    <col width="6" customWidth="1" min="23" max="23"/>
    <col width="6" customWidth="1" min="24" max="24"/>
    <col width="6" customWidth="1" min="25" max="25"/>
    <col width="6" customWidth="1" min="26" max="26"/>
    <col width="6" customWidth="1" min="27" max="27"/>
    <col width="6" customWidth="1" min="28" max="28"/>
    <col width="6" customWidth="1" min="29" max="29"/>
    <col width="6" customWidth="1" min="30" max="30"/>
    <col width="6" customWidth="1" min="31" max="31"/>
    <col width="6" customWidth="1" min="32" max="32"/>
    <col width="6" customWidth="1" min="33" max="33"/>
    <col width="6" customWidth="1" min="34" max="34"/>
    <col width="6" customWidth="1" min="35" max="35"/>
    <col width="6" customWidth="1" min="36" max="36"/>
    <col width="6" customWidth="1" min="37" max="37"/>
    <col width="6" customWidth="1" min="38" max="38"/>
    <col width="6" customWidth="1" min="39" max="39"/>
    <col width="6" customWidth="1" min="40" max="40"/>
    <col width="6" customWidth="1" min="41" max="41"/>
    <col width="6" customWidth="1" min="42" max="42"/>
    <col width="6" customWidth="1" min="43" max="43"/>
    <col width="6" customWidth="1" min="44" max="44"/>
    <col width="6" customWidth="1" min="45" max="45"/>
    <col width="6" customWidth="1" min="46" max="46"/>
    <col width="6" customWidth="1" min="47" max="47"/>
    <col width="6" customWidth="1" min="48" max="48"/>
    <col width="6" customWidth="1" min="49" max="49"/>
    <col width="6" customWidth="1" min="50" max="50"/>
    <col width="6" customWidth="1" min="51" max="51"/>
    <col width="6" customWidth="1" min="52" max="52"/>
    <col width="6" customWidth="1" min="53" max="53"/>
    <col width="6" customWidth="1" min="54" max="54"/>
    <col width="6" customWidth="1" min="55" max="55"/>
    <col width="6" customWidth="1" min="56" max="56"/>
    <col width="6" customWidth="1" min="57" max="57"/>
    <col width="6" customWidth="1" min="58" max="58"/>
    <col width="6" customWidth="1" min="59" max="59"/>
    <col width="6" customWidth="1" min="60" max="60"/>
    <col width="6" customWidth="1" min="61" max="61"/>
    <col width="6" customWidth="1" min="62" max="62"/>
    <col width="6" customWidth="1" min="63" max="63"/>
    <col width="6" customWidth="1" min="64" max="64"/>
    <col width="6" customWidth="1" min="65" max="65"/>
    <col width="6" customWidth="1" min="66" max="66"/>
    <col width="6" customWidth="1" min="67" max="67"/>
    <col width="6" customWidth="1" min="68" max="68"/>
    <col width="6" customWidth="1" min="69" max="69"/>
    <col width="6" customWidth="1" min="70" max="70"/>
    <col width="6" customWidth="1" min="71" max="71"/>
    <col width="6" customWidth="1" min="72" max="72"/>
    <col width="6" customWidth="1" min="73" max="73"/>
    <col width="6" customWidth="1" min="74" max="74"/>
    <col width="6" customWidth="1" min="75" max="75"/>
    <col width="11" customWidth="1" min="76" max="76"/>
    <col width="11" customWidth="1" min="77" max="77"/>
    <col width="11" customWidth="1" min="78" max="78"/>
    <col width="11" customWidth="1" min="79" max="79"/>
  </cols>
  <sheetData>
    <row r="1">
      <c r="A1" s="5" t="inlineStr">
        <is>
          <t>INPUT NILAI MAHASISWA — [Nama Mata Kuliah]</t>
        </is>
      </c>
    </row>
    <row r="2" ht="30" customHeight="1">
      <c r="A2" s="2" t="inlineStr">
        <is>
          <t>Isi hanya sel abu-abu muda (skor 0-100). Nilai Sikap cukup diisi SATU KALI per mahasiswa (dinilai holistik, mis. di akhir semester). Nilai per Sub-CPMK, per CPMK, per CPL, dan Nilai Akhir MK terisi otomatis di sheet lain.</t>
        </is>
      </c>
    </row>
    <row r="3">
      <c r="A3" s="6" t="inlineStr">
        <is>
          <t>No</t>
        </is>
      </c>
      <c r="B3" s="6" t="inlineStr">
        <is>
          <t>NIM</t>
        </is>
      </c>
      <c r="C3" s="6" t="inlineStr">
        <is>
          <t>Nama Mahasiswa</t>
        </is>
      </c>
      <c r="D3" s="6" t="inlineStr">
        <is>
          <t>Sub-CPMK 1</t>
        </is>
      </c>
      <c r="M3" s="6" t="inlineStr">
        <is>
          <t>Sub-CPMK 2</t>
        </is>
      </c>
      <c r="V3" s="6" t="inlineStr">
        <is>
          <t>Sub-CPMK 3</t>
        </is>
      </c>
      <c r="AE3" s="6" t="inlineStr">
        <is>
          <t>Sub-CPMK 4</t>
        </is>
      </c>
      <c r="AN3" s="6" t="inlineStr">
        <is>
          <t>Sub-CPMK 5</t>
        </is>
      </c>
      <c r="AW3" s="6" t="inlineStr">
        <is>
          <t>Sub-CPMK 6</t>
        </is>
      </c>
      <c r="BF3" s="6" t="inlineStr">
        <is>
          <t>Sub-CPMK 7</t>
        </is>
      </c>
      <c r="BO3" s="6" t="inlineStr">
        <is>
          <t>Sub-CPMK 8</t>
        </is>
      </c>
      <c r="BX3" s="6" t="inlineStr">
        <is>
          <t>Sikap
(1x/mhs)</t>
        </is>
      </c>
      <c r="BY3" s="6" t="inlineStr">
        <is>
          <t>Nilai Akhir
MK</t>
        </is>
      </c>
      <c r="BZ3" s="6" t="inlineStr">
        <is>
          <t>Nilai
Huruf</t>
        </is>
      </c>
      <c r="CA3" s="6" t="inlineStr">
        <is>
          <t>Keterangan</t>
        </is>
      </c>
    </row>
    <row r="4">
      <c r="A4" s="14" t="n"/>
      <c r="B4" s="14" t="n"/>
      <c r="C4" s="14" t="n"/>
      <c r="D4" s="6" t="inlineStr">
        <is>
          <t>QUI</t>
        </is>
      </c>
      <c r="E4" s="6" t="inlineStr">
        <is>
          <t>TTS</t>
        </is>
      </c>
      <c r="F4" s="6" t="inlineStr">
        <is>
          <t>UTS</t>
        </is>
      </c>
      <c r="G4" s="6" t="inlineStr">
        <is>
          <t>UAS</t>
        </is>
      </c>
      <c r="H4" s="6" t="inlineStr">
        <is>
          <t>UKN</t>
        </is>
      </c>
      <c r="I4" s="6" t="inlineStr">
        <is>
          <t>PRY</t>
        </is>
      </c>
      <c r="J4" s="6" t="inlineStr">
        <is>
          <t>POR</t>
        </is>
      </c>
      <c r="K4" s="6" t="inlineStr">
        <is>
          <t>PRD</t>
        </is>
      </c>
      <c r="L4" s="6" t="inlineStr">
        <is>
          <t>PRE</t>
        </is>
      </c>
      <c r="M4" s="6" t="inlineStr">
        <is>
          <t>QUI</t>
        </is>
      </c>
      <c r="N4" s="6" t="inlineStr">
        <is>
          <t>TTS</t>
        </is>
      </c>
      <c r="O4" s="6" t="inlineStr">
        <is>
          <t>UTS</t>
        </is>
      </c>
      <c r="P4" s="6" t="inlineStr">
        <is>
          <t>UAS</t>
        </is>
      </c>
      <c r="Q4" s="6" t="inlineStr">
        <is>
          <t>UKN</t>
        </is>
      </c>
      <c r="R4" s="6" t="inlineStr">
        <is>
          <t>PRY</t>
        </is>
      </c>
      <c r="S4" s="6" t="inlineStr">
        <is>
          <t>POR</t>
        </is>
      </c>
      <c r="T4" s="6" t="inlineStr">
        <is>
          <t>PRD</t>
        </is>
      </c>
      <c r="U4" s="6" t="inlineStr">
        <is>
          <t>PRE</t>
        </is>
      </c>
      <c r="V4" s="6" t="inlineStr">
        <is>
          <t>QUI</t>
        </is>
      </c>
      <c r="W4" s="6" t="inlineStr">
        <is>
          <t>TTS</t>
        </is>
      </c>
      <c r="X4" s="6" t="inlineStr">
        <is>
          <t>UTS</t>
        </is>
      </c>
      <c r="Y4" s="6" t="inlineStr">
        <is>
          <t>UAS</t>
        </is>
      </c>
      <c r="Z4" s="6" t="inlineStr">
        <is>
          <t>UKN</t>
        </is>
      </c>
      <c r="AA4" s="6" t="inlineStr">
        <is>
          <t>PRY</t>
        </is>
      </c>
      <c r="AB4" s="6" t="inlineStr">
        <is>
          <t>POR</t>
        </is>
      </c>
      <c r="AC4" s="6" t="inlineStr">
        <is>
          <t>PRD</t>
        </is>
      </c>
      <c r="AD4" s="6" t="inlineStr">
        <is>
          <t>PRE</t>
        </is>
      </c>
      <c r="AE4" s="6" t="inlineStr">
        <is>
          <t>QUI</t>
        </is>
      </c>
      <c r="AF4" s="6" t="inlineStr">
        <is>
          <t>TTS</t>
        </is>
      </c>
      <c r="AG4" s="6" t="inlineStr">
        <is>
          <t>UTS</t>
        </is>
      </c>
      <c r="AH4" s="6" t="inlineStr">
        <is>
          <t>UAS</t>
        </is>
      </c>
      <c r="AI4" s="6" t="inlineStr">
        <is>
          <t>UKN</t>
        </is>
      </c>
      <c r="AJ4" s="6" t="inlineStr">
        <is>
          <t>PRY</t>
        </is>
      </c>
      <c r="AK4" s="6" t="inlineStr">
        <is>
          <t>POR</t>
        </is>
      </c>
      <c r="AL4" s="6" t="inlineStr">
        <is>
          <t>PRD</t>
        </is>
      </c>
      <c r="AM4" s="6" t="inlineStr">
        <is>
          <t>PRE</t>
        </is>
      </c>
      <c r="AN4" s="6" t="inlineStr">
        <is>
          <t>QUI</t>
        </is>
      </c>
      <c r="AO4" s="6" t="inlineStr">
        <is>
          <t>TTS</t>
        </is>
      </c>
      <c r="AP4" s="6" t="inlineStr">
        <is>
          <t>UTS</t>
        </is>
      </c>
      <c r="AQ4" s="6" t="inlineStr">
        <is>
          <t>UAS</t>
        </is>
      </c>
      <c r="AR4" s="6" t="inlineStr">
        <is>
          <t>UKN</t>
        </is>
      </c>
      <c r="AS4" s="6" t="inlineStr">
        <is>
          <t>PRY</t>
        </is>
      </c>
      <c r="AT4" s="6" t="inlineStr">
        <is>
          <t>POR</t>
        </is>
      </c>
      <c r="AU4" s="6" t="inlineStr">
        <is>
          <t>PRD</t>
        </is>
      </c>
      <c r="AV4" s="6" t="inlineStr">
        <is>
          <t>PRE</t>
        </is>
      </c>
      <c r="AW4" s="6" t="inlineStr">
        <is>
          <t>QUI</t>
        </is>
      </c>
      <c r="AX4" s="6" t="inlineStr">
        <is>
          <t>TTS</t>
        </is>
      </c>
      <c r="AY4" s="6" t="inlineStr">
        <is>
          <t>UTS</t>
        </is>
      </c>
      <c r="AZ4" s="6" t="inlineStr">
        <is>
          <t>UAS</t>
        </is>
      </c>
      <c r="BA4" s="6" t="inlineStr">
        <is>
          <t>UKN</t>
        </is>
      </c>
      <c r="BB4" s="6" t="inlineStr">
        <is>
          <t>PRY</t>
        </is>
      </c>
      <c r="BC4" s="6" t="inlineStr">
        <is>
          <t>POR</t>
        </is>
      </c>
      <c r="BD4" s="6" t="inlineStr">
        <is>
          <t>PRD</t>
        </is>
      </c>
      <c r="BE4" s="6" t="inlineStr">
        <is>
          <t>PRE</t>
        </is>
      </c>
      <c r="BF4" s="6" t="inlineStr">
        <is>
          <t>QUI</t>
        </is>
      </c>
      <c r="BG4" s="6" t="inlineStr">
        <is>
          <t>TTS</t>
        </is>
      </c>
      <c r="BH4" s="6" t="inlineStr">
        <is>
          <t>UTS</t>
        </is>
      </c>
      <c r="BI4" s="6" t="inlineStr">
        <is>
          <t>UAS</t>
        </is>
      </c>
      <c r="BJ4" s="6" t="inlineStr">
        <is>
          <t>UKN</t>
        </is>
      </c>
      <c r="BK4" s="6" t="inlineStr">
        <is>
          <t>PRY</t>
        </is>
      </c>
      <c r="BL4" s="6" t="inlineStr">
        <is>
          <t>POR</t>
        </is>
      </c>
      <c r="BM4" s="6" t="inlineStr">
        <is>
          <t>PRD</t>
        </is>
      </c>
      <c r="BN4" s="6" t="inlineStr">
        <is>
          <t>PRE</t>
        </is>
      </c>
      <c r="BO4" s="6" t="inlineStr">
        <is>
          <t>QUI</t>
        </is>
      </c>
      <c r="BP4" s="6" t="inlineStr">
        <is>
          <t>TTS</t>
        </is>
      </c>
      <c r="BQ4" s="6" t="inlineStr">
        <is>
          <t>UTS</t>
        </is>
      </c>
      <c r="BR4" s="6" t="inlineStr">
        <is>
          <t>UAS</t>
        </is>
      </c>
      <c r="BS4" s="6" t="inlineStr">
        <is>
          <t>UKN</t>
        </is>
      </c>
      <c r="BT4" s="6" t="inlineStr">
        <is>
          <t>PRY</t>
        </is>
      </c>
      <c r="BU4" s="6" t="inlineStr">
        <is>
          <t>POR</t>
        </is>
      </c>
      <c r="BV4" s="6" t="inlineStr">
        <is>
          <t>PRD</t>
        </is>
      </c>
      <c r="BW4" s="6" t="inlineStr">
        <is>
          <t>PRE</t>
        </is>
      </c>
    </row>
    <row r="5">
      <c r="A5" s="7" t="n">
        <v>1</v>
      </c>
      <c r="B5" s="10" t="n"/>
      <c r="C5" s="9" t="n"/>
      <c r="D5" s="10" t="n"/>
      <c r="E5" s="10" t="n"/>
      <c r="F5" s="10" t="n"/>
      <c r="G5" s="10" t="n"/>
      <c r="H5" s="10" t="n"/>
      <c r="I5" s="10" t="n"/>
      <c r="J5" s="10" t="n"/>
      <c r="K5" s="10" t="n"/>
      <c r="L5" s="10" t="n"/>
      <c r="M5" s="10" t="n"/>
      <c r="N5" s="10" t="n"/>
      <c r="O5" s="10" t="n"/>
      <c r="P5" s="10" t="n"/>
      <c r="Q5" s="10" t="n"/>
      <c r="R5" s="10" t="n"/>
      <c r="S5" s="10" t="n"/>
      <c r="T5" s="10" t="n"/>
      <c r="U5" s="10" t="n"/>
      <c r="V5" s="10" t="n"/>
      <c r="W5" s="10" t="n"/>
      <c r="X5" s="10" t="n"/>
      <c r="Y5" s="10" t="n"/>
      <c r="Z5" s="10" t="n"/>
      <c r="AA5" s="10" t="n"/>
      <c r="AB5" s="10" t="n"/>
      <c r="AC5" s="10" t="n"/>
      <c r="AD5" s="10" t="n"/>
      <c r="AE5" s="10" t="n"/>
      <c r="AF5" s="10" t="n"/>
      <c r="AG5" s="10" t="n"/>
      <c r="AH5" s="10" t="n"/>
      <c r="AI5" s="10" t="n"/>
      <c r="AJ5" s="10" t="n"/>
      <c r="AK5" s="10" t="n"/>
      <c r="AL5" s="10" t="n"/>
      <c r="AM5" s="10" t="n"/>
      <c r="AN5" s="10" t="n"/>
      <c r="AO5" s="10" t="n"/>
      <c r="AP5" s="10" t="n"/>
      <c r="AQ5" s="10" t="n"/>
      <c r="AR5" s="10" t="n"/>
      <c r="AS5" s="10" t="n"/>
      <c r="AT5" s="10" t="n"/>
      <c r="AU5" s="10" t="n"/>
      <c r="AV5" s="10" t="n"/>
      <c r="AW5" s="10" t="n"/>
      <c r="AX5" s="10" t="n"/>
      <c r="AY5" s="10" t="n"/>
      <c r="AZ5" s="10" t="n"/>
      <c r="BA5" s="10" t="n"/>
      <c r="BB5" s="10" t="n"/>
      <c r="BC5" s="10" t="n"/>
      <c r="BD5" s="10" t="n"/>
      <c r="BE5" s="10" t="n"/>
      <c r="BF5" s="10" t="n"/>
      <c r="BG5" s="10" t="n"/>
      <c r="BH5" s="10" t="n"/>
      <c r="BI5" s="10" t="n"/>
      <c r="BJ5" s="10" t="n"/>
      <c r="BK5" s="10" t="n"/>
      <c r="BL5" s="10" t="n"/>
      <c r="BM5" s="10" t="n"/>
      <c r="BN5" s="10" t="n"/>
      <c r="BO5" s="10" t="n"/>
      <c r="BP5" s="10" t="n"/>
      <c r="BQ5" s="10" t="n"/>
      <c r="BR5" s="10" t="n"/>
      <c r="BS5" s="10" t="n"/>
      <c r="BT5" s="10" t="n"/>
      <c r="BU5" s="10" t="n"/>
      <c r="BV5" s="10" t="n"/>
      <c r="BW5" s="10" t="n"/>
      <c r="BX5" s="10" t="n"/>
      <c r="BY5" s="7">
        <f>IF($B5="","",'Nilai CPMK per Mahasiswa'!Z5)</f>
        <v/>
      </c>
      <c r="BZ5" s="7">
        <f>IF(BY5="","",VLOOKUP(BY5,'Bobot CPMK'!$B$17:$D$21,2,TRUE()))</f>
        <v/>
      </c>
      <c r="CA5" s="7">
        <f>IF(BY5="","",IF(BY5&gt;='Bobot CPMK'!$T$17,"Lulus","Tidak Lulus"))</f>
        <v/>
      </c>
    </row>
    <row r="6">
      <c r="A6" s="7" t="n">
        <v>2</v>
      </c>
      <c r="B6" s="10" t="n"/>
      <c r="C6" s="9" t="n"/>
      <c r="D6" s="10" t="n"/>
      <c r="E6" s="10" t="n"/>
      <c r="F6" s="10" t="n"/>
      <c r="G6" s="10" t="n"/>
      <c r="H6" s="10" t="n"/>
      <c r="I6" s="10" t="n"/>
      <c r="J6" s="10" t="n"/>
      <c r="K6" s="10" t="n"/>
      <c r="L6" s="10" t="n"/>
      <c r="M6" s="10" t="n"/>
      <c r="N6" s="10" t="n"/>
      <c r="O6" s="10" t="n"/>
      <c r="P6" s="10" t="n"/>
      <c r="Q6" s="10" t="n"/>
      <c r="R6" s="10" t="n"/>
      <c r="S6" s="10" t="n"/>
      <c r="T6" s="10" t="n"/>
      <c r="U6" s="10" t="n"/>
      <c r="V6" s="10" t="n"/>
      <c r="W6" s="10" t="n"/>
      <c r="X6" s="10" t="n"/>
      <c r="Y6" s="10" t="n"/>
      <c r="Z6" s="10" t="n"/>
      <c r="AA6" s="10" t="n"/>
      <c r="AB6" s="10" t="n"/>
      <c r="AC6" s="10" t="n"/>
      <c r="AD6" s="10" t="n"/>
      <c r="AE6" s="10" t="n"/>
      <c r="AF6" s="10" t="n"/>
      <c r="AG6" s="10" t="n"/>
      <c r="AH6" s="10" t="n"/>
      <c r="AI6" s="10" t="n"/>
      <c r="AJ6" s="10" t="n"/>
      <c r="AK6" s="10" t="n"/>
      <c r="AL6" s="10" t="n"/>
      <c r="AM6" s="10" t="n"/>
      <c r="AN6" s="10" t="n"/>
      <c r="AO6" s="10" t="n"/>
      <c r="AP6" s="10" t="n"/>
      <c r="AQ6" s="10" t="n"/>
      <c r="AR6" s="10" t="n"/>
      <c r="AS6" s="10" t="n"/>
      <c r="AT6" s="10" t="n"/>
      <c r="AU6" s="10" t="n"/>
      <c r="AV6" s="10" t="n"/>
      <c r="AW6" s="10" t="n"/>
      <c r="AX6" s="10" t="n"/>
      <c r="AY6" s="10" t="n"/>
      <c r="AZ6" s="10" t="n"/>
      <c r="BA6" s="10" t="n"/>
      <c r="BB6" s="10" t="n"/>
      <c r="BC6" s="10" t="n"/>
      <c r="BD6" s="10" t="n"/>
      <c r="BE6" s="10" t="n"/>
      <c r="BF6" s="10" t="n"/>
      <c r="BG6" s="10" t="n"/>
      <c r="BH6" s="10" t="n"/>
      <c r="BI6" s="10" t="n"/>
      <c r="BJ6" s="10" t="n"/>
      <c r="BK6" s="10" t="n"/>
      <c r="BL6" s="10" t="n"/>
      <c r="BM6" s="10" t="n"/>
      <c r="BN6" s="10" t="n"/>
      <c r="BO6" s="10" t="n"/>
      <c r="BP6" s="10" t="n"/>
      <c r="BQ6" s="10" t="n"/>
      <c r="BR6" s="10" t="n"/>
      <c r="BS6" s="10" t="n"/>
      <c r="BT6" s="10" t="n"/>
      <c r="BU6" s="10" t="n"/>
      <c r="BV6" s="10" t="n"/>
      <c r="BW6" s="10" t="n"/>
      <c r="BX6" s="10" t="n"/>
      <c r="BY6" s="7">
        <f>IF($B6="","",'Nilai CPMK per Mahasiswa'!Z6)</f>
        <v/>
      </c>
      <c r="BZ6" s="7">
        <f>IF(BY6="","",VLOOKUP(BY6,'Bobot CPMK'!$B$17:$D$21,2,TRUE()))</f>
        <v/>
      </c>
      <c r="CA6" s="7">
        <f>IF(BY6="","",IF(BY6&gt;='Bobot CPMK'!$T$17,"Lulus","Tidak Lulus"))</f>
        <v/>
      </c>
    </row>
    <row r="7">
      <c r="A7" s="7" t="n">
        <v>3</v>
      </c>
      <c r="B7" s="10" t="n"/>
      <c r="C7" s="9" t="n"/>
      <c r="D7" s="10" t="n"/>
      <c r="E7" s="10" t="n"/>
      <c r="F7" s="10" t="n"/>
      <c r="G7" s="10" t="n"/>
      <c r="H7" s="10" t="n"/>
      <c r="I7" s="10" t="n"/>
      <c r="J7" s="10" t="n"/>
      <c r="K7" s="10" t="n"/>
      <c r="L7" s="10" t="n"/>
      <c r="M7" s="10" t="n"/>
      <c r="N7" s="10" t="n"/>
      <c r="O7" s="10" t="n"/>
      <c r="P7" s="10" t="n"/>
      <c r="Q7" s="10" t="n"/>
      <c r="R7" s="10" t="n"/>
      <c r="S7" s="10" t="n"/>
      <c r="T7" s="10" t="n"/>
      <c r="U7" s="10" t="n"/>
      <c r="V7" s="10" t="n"/>
      <c r="W7" s="10" t="n"/>
      <c r="X7" s="10" t="n"/>
      <c r="Y7" s="10" t="n"/>
      <c r="Z7" s="10" t="n"/>
      <c r="AA7" s="10" t="n"/>
      <c r="AB7" s="10" t="n"/>
      <c r="AC7" s="10" t="n"/>
      <c r="AD7" s="10" t="n"/>
      <c r="AE7" s="10" t="n"/>
      <c r="AF7" s="10" t="n"/>
      <c r="AG7" s="10" t="n"/>
      <c r="AH7" s="10" t="n"/>
      <c r="AI7" s="10" t="n"/>
      <c r="AJ7" s="10" t="n"/>
      <c r="AK7" s="10" t="n"/>
      <c r="AL7" s="10" t="n"/>
      <c r="AM7" s="10" t="n"/>
      <c r="AN7" s="10" t="n"/>
      <c r="AO7" s="10" t="n"/>
      <c r="AP7" s="10" t="n"/>
      <c r="AQ7" s="10" t="n"/>
      <c r="AR7" s="10" t="n"/>
      <c r="AS7" s="10" t="n"/>
      <c r="AT7" s="10" t="n"/>
      <c r="AU7" s="10" t="n"/>
      <c r="AV7" s="10" t="n"/>
      <c r="AW7" s="10" t="n"/>
      <c r="AX7" s="10" t="n"/>
      <c r="AY7" s="10" t="n"/>
      <c r="AZ7" s="10" t="n"/>
      <c r="BA7" s="10" t="n"/>
      <c r="BB7" s="10" t="n"/>
      <c r="BC7" s="10" t="n"/>
      <c r="BD7" s="10" t="n"/>
      <c r="BE7" s="10" t="n"/>
      <c r="BF7" s="10" t="n"/>
      <c r="BG7" s="10" t="n"/>
      <c r="BH7" s="10" t="n"/>
      <c r="BI7" s="10" t="n"/>
      <c r="BJ7" s="10" t="n"/>
      <c r="BK7" s="10" t="n"/>
      <c r="BL7" s="10" t="n"/>
      <c r="BM7" s="10" t="n"/>
      <c r="BN7" s="10" t="n"/>
      <c r="BO7" s="10" t="n"/>
      <c r="BP7" s="10" t="n"/>
      <c r="BQ7" s="10" t="n"/>
      <c r="BR7" s="10" t="n"/>
      <c r="BS7" s="10" t="n"/>
      <c r="BT7" s="10" t="n"/>
      <c r="BU7" s="10" t="n"/>
      <c r="BV7" s="10" t="n"/>
      <c r="BW7" s="10" t="n"/>
      <c r="BX7" s="10" t="n"/>
      <c r="BY7" s="7">
        <f>IF($B7="","",'Nilai CPMK per Mahasiswa'!Z7)</f>
        <v/>
      </c>
      <c r="BZ7" s="7">
        <f>IF(BY7="","",VLOOKUP(BY7,'Bobot CPMK'!$B$17:$D$21,2,TRUE()))</f>
        <v/>
      </c>
      <c r="CA7" s="7">
        <f>IF(BY7="","",IF(BY7&gt;='Bobot CPMK'!$T$17,"Lulus","Tidak Lulus"))</f>
        <v/>
      </c>
    </row>
    <row r="8">
      <c r="A8" s="7" t="n">
        <v>4</v>
      </c>
      <c r="B8" s="10" t="n"/>
      <c r="C8" s="9" t="n"/>
      <c r="D8" s="10" t="n"/>
      <c r="E8" s="10" t="n"/>
      <c r="F8" s="10" t="n"/>
      <c r="G8" s="10" t="n"/>
      <c r="H8" s="10" t="n"/>
      <c r="I8" s="10" t="n"/>
      <c r="J8" s="10" t="n"/>
      <c r="K8" s="10" t="n"/>
      <c r="L8" s="10" t="n"/>
      <c r="M8" s="10" t="n"/>
      <c r="N8" s="10" t="n"/>
      <c r="O8" s="10" t="n"/>
      <c r="P8" s="10" t="n"/>
      <c r="Q8" s="10" t="n"/>
      <c r="R8" s="10" t="n"/>
      <c r="S8" s="10" t="n"/>
      <c r="T8" s="10" t="n"/>
      <c r="U8" s="10" t="n"/>
      <c r="V8" s="10" t="n"/>
      <c r="W8" s="10" t="n"/>
      <c r="X8" s="10" t="n"/>
      <c r="Y8" s="10" t="n"/>
      <c r="Z8" s="10" t="n"/>
      <c r="AA8" s="10" t="n"/>
      <c r="AB8" s="10" t="n"/>
      <c r="AC8" s="10" t="n"/>
      <c r="AD8" s="10" t="n"/>
      <c r="AE8" s="10" t="n"/>
      <c r="AF8" s="10" t="n"/>
      <c r="AG8" s="10" t="n"/>
      <c r="AH8" s="10" t="n"/>
      <c r="AI8" s="10" t="n"/>
      <c r="AJ8" s="10" t="n"/>
      <c r="AK8" s="10" t="n"/>
      <c r="AL8" s="10" t="n"/>
      <c r="AM8" s="10" t="n"/>
      <c r="AN8" s="10" t="n"/>
      <c r="AO8" s="10" t="n"/>
      <c r="AP8" s="10" t="n"/>
      <c r="AQ8" s="10" t="n"/>
      <c r="AR8" s="10" t="n"/>
      <c r="AS8" s="10" t="n"/>
      <c r="AT8" s="10" t="n"/>
      <c r="AU8" s="10" t="n"/>
      <c r="AV8" s="10" t="n"/>
      <c r="AW8" s="10" t="n"/>
      <c r="AX8" s="10" t="n"/>
      <c r="AY8" s="10" t="n"/>
      <c r="AZ8" s="10" t="n"/>
      <c r="BA8" s="10" t="n"/>
      <c r="BB8" s="10" t="n"/>
      <c r="BC8" s="10" t="n"/>
      <c r="BD8" s="10" t="n"/>
      <c r="BE8" s="10" t="n"/>
      <c r="BF8" s="10" t="n"/>
      <c r="BG8" s="10" t="n"/>
      <c r="BH8" s="10" t="n"/>
      <c r="BI8" s="10" t="n"/>
      <c r="BJ8" s="10" t="n"/>
      <c r="BK8" s="10" t="n"/>
      <c r="BL8" s="10" t="n"/>
      <c r="BM8" s="10" t="n"/>
      <c r="BN8" s="10" t="n"/>
      <c r="BO8" s="10" t="n"/>
      <c r="BP8" s="10" t="n"/>
      <c r="BQ8" s="10" t="n"/>
      <c r="BR8" s="10" t="n"/>
      <c r="BS8" s="10" t="n"/>
      <c r="BT8" s="10" t="n"/>
      <c r="BU8" s="10" t="n"/>
      <c r="BV8" s="10" t="n"/>
      <c r="BW8" s="10" t="n"/>
      <c r="BX8" s="10" t="n"/>
      <c r="BY8" s="7">
        <f>IF($B8="","",'Nilai CPMK per Mahasiswa'!Z8)</f>
        <v/>
      </c>
      <c r="BZ8" s="7">
        <f>IF(BY8="","",VLOOKUP(BY8,'Bobot CPMK'!$B$17:$D$21,2,TRUE()))</f>
        <v/>
      </c>
      <c r="CA8" s="7">
        <f>IF(BY8="","",IF(BY8&gt;='Bobot CPMK'!$T$17,"Lulus","Tidak Lulus"))</f>
        <v/>
      </c>
    </row>
    <row r="9">
      <c r="A9" s="7" t="n">
        <v>5</v>
      </c>
      <c r="B9" s="10" t="n"/>
      <c r="C9" s="9" t="n"/>
      <c r="D9" s="10" t="n"/>
      <c r="E9" s="10" t="n"/>
      <c r="F9" s="10" t="n"/>
      <c r="G9" s="10" t="n"/>
      <c r="H9" s="10" t="n"/>
      <c r="I9" s="10" t="n"/>
      <c r="J9" s="10" t="n"/>
      <c r="K9" s="10" t="n"/>
      <c r="L9" s="10" t="n"/>
      <c r="M9" s="10" t="n"/>
      <c r="N9" s="10" t="n"/>
      <c r="O9" s="10" t="n"/>
      <c r="P9" s="10" t="n"/>
      <c r="Q9" s="10" t="n"/>
      <c r="R9" s="10" t="n"/>
      <c r="S9" s="10" t="n"/>
      <c r="T9" s="10" t="n"/>
      <c r="U9" s="10" t="n"/>
      <c r="V9" s="10" t="n"/>
      <c r="W9" s="10" t="n"/>
      <c r="X9" s="10" t="n"/>
      <c r="Y9" s="10" t="n"/>
      <c r="Z9" s="10" t="n"/>
      <c r="AA9" s="10" t="n"/>
      <c r="AB9" s="10" t="n"/>
      <c r="AC9" s="10" t="n"/>
      <c r="AD9" s="10" t="n"/>
      <c r="AE9" s="10" t="n"/>
      <c r="AF9" s="10" t="n"/>
      <c r="AG9" s="10" t="n"/>
      <c r="AH9" s="10" t="n"/>
      <c r="AI9" s="10" t="n"/>
      <c r="AJ9" s="10" t="n"/>
      <c r="AK9" s="10" t="n"/>
      <c r="AL9" s="10" t="n"/>
      <c r="AM9" s="10" t="n"/>
      <c r="AN9" s="10" t="n"/>
      <c r="AO9" s="10" t="n"/>
      <c r="AP9" s="10" t="n"/>
      <c r="AQ9" s="10" t="n"/>
      <c r="AR9" s="10" t="n"/>
      <c r="AS9" s="10" t="n"/>
      <c r="AT9" s="10" t="n"/>
      <c r="AU9" s="10" t="n"/>
      <c r="AV9" s="10" t="n"/>
      <c r="AW9" s="10" t="n"/>
      <c r="AX9" s="10" t="n"/>
      <c r="AY9" s="10" t="n"/>
      <c r="AZ9" s="10" t="n"/>
      <c r="BA9" s="10" t="n"/>
      <c r="BB9" s="10" t="n"/>
      <c r="BC9" s="10" t="n"/>
      <c r="BD9" s="10" t="n"/>
      <c r="BE9" s="10" t="n"/>
      <c r="BF9" s="10" t="n"/>
      <c r="BG9" s="10" t="n"/>
      <c r="BH9" s="10" t="n"/>
      <c r="BI9" s="10" t="n"/>
      <c r="BJ9" s="10" t="n"/>
      <c r="BK9" s="10" t="n"/>
      <c r="BL9" s="10" t="n"/>
      <c r="BM9" s="10" t="n"/>
      <c r="BN9" s="10" t="n"/>
      <c r="BO9" s="10" t="n"/>
      <c r="BP9" s="10" t="n"/>
      <c r="BQ9" s="10" t="n"/>
      <c r="BR9" s="10" t="n"/>
      <c r="BS9" s="10" t="n"/>
      <c r="BT9" s="10" t="n"/>
      <c r="BU9" s="10" t="n"/>
      <c r="BV9" s="10" t="n"/>
      <c r="BW9" s="10" t="n"/>
      <c r="BX9" s="10" t="n"/>
      <c r="BY9" s="7">
        <f>IF($B9="","",'Nilai CPMK per Mahasiswa'!Z9)</f>
        <v/>
      </c>
      <c r="BZ9" s="7">
        <f>IF(BY9="","",VLOOKUP(BY9,'Bobot CPMK'!$B$17:$D$21,2,TRUE()))</f>
        <v/>
      </c>
      <c r="CA9" s="7">
        <f>IF(BY9="","",IF(BY9&gt;='Bobot CPMK'!$T$17,"Lulus","Tidak Lulus"))</f>
        <v/>
      </c>
    </row>
    <row r="10">
      <c r="A10" s="7" t="n">
        <v>6</v>
      </c>
      <c r="B10" s="10" t="n"/>
      <c r="C10" s="9" t="n"/>
      <c r="D10" s="10" t="n"/>
      <c r="E10" s="10" t="n"/>
      <c r="F10" s="10" t="n"/>
      <c r="G10" s="10" t="n"/>
      <c r="H10" s="10" t="n"/>
      <c r="I10" s="10" t="n"/>
      <c r="J10" s="10" t="n"/>
      <c r="K10" s="10" t="n"/>
      <c r="L10" s="10" t="n"/>
      <c r="M10" s="10" t="n"/>
      <c r="N10" s="10" t="n"/>
      <c r="O10" s="10" t="n"/>
      <c r="P10" s="10" t="n"/>
      <c r="Q10" s="10" t="n"/>
      <c r="R10" s="10" t="n"/>
      <c r="S10" s="10" t="n"/>
      <c r="T10" s="10" t="n"/>
      <c r="U10" s="10" t="n"/>
      <c r="V10" s="10" t="n"/>
      <c r="W10" s="10" t="n"/>
      <c r="X10" s="10" t="n"/>
      <c r="Y10" s="10" t="n"/>
      <c r="Z10" s="10" t="n"/>
      <c r="AA10" s="10" t="n"/>
      <c r="AB10" s="10" t="n"/>
      <c r="AC10" s="10" t="n"/>
      <c r="AD10" s="10" t="n"/>
      <c r="AE10" s="10" t="n"/>
      <c r="AF10" s="10" t="n"/>
      <c r="AG10" s="10" t="n"/>
      <c r="AH10" s="10" t="n"/>
      <c r="AI10" s="10" t="n"/>
      <c r="AJ10" s="10" t="n"/>
      <c r="AK10" s="10" t="n"/>
      <c r="AL10" s="10" t="n"/>
      <c r="AM10" s="10" t="n"/>
      <c r="AN10" s="10" t="n"/>
      <c r="AO10" s="10" t="n"/>
      <c r="AP10" s="10" t="n"/>
      <c r="AQ10" s="10" t="n"/>
      <c r="AR10" s="10" t="n"/>
      <c r="AS10" s="10" t="n"/>
      <c r="AT10" s="10" t="n"/>
      <c r="AU10" s="10" t="n"/>
      <c r="AV10" s="10" t="n"/>
      <c r="AW10" s="10" t="n"/>
      <c r="AX10" s="10" t="n"/>
      <c r="AY10" s="10" t="n"/>
      <c r="AZ10" s="10" t="n"/>
      <c r="BA10" s="10" t="n"/>
      <c r="BB10" s="10" t="n"/>
      <c r="BC10" s="10" t="n"/>
      <c r="BD10" s="10" t="n"/>
      <c r="BE10" s="10" t="n"/>
      <c r="BF10" s="10" t="n"/>
      <c r="BG10" s="10" t="n"/>
      <c r="BH10" s="10" t="n"/>
      <c r="BI10" s="10" t="n"/>
      <c r="BJ10" s="10" t="n"/>
      <c r="BK10" s="10" t="n"/>
      <c r="BL10" s="10" t="n"/>
      <c r="BM10" s="10" t="n"/>
      <c r="BN10" s="10" t="n"/>
      <c r="BO10" s="10" t="n"/>
      <c r="BP10" s="10" t="n"/>
      <c r="BQ10" s="10" t="n"/>
      <c r="BR10" s="10" t="n"/>
      <c r="BS10" s="10" t="n"/>
      <c r="BT10" s="10" t="n"/>
      <c r="BU10" s="10" t="n"/>
      <c r="BV10" s="10" t="n"/>
      <c r="BW10" s="10" t="n"/>
      <c r="BX10" s="10" t="n"/>
      <c r="BY10" s="7">
        <f>IF($B10="","",'Nilai CPMK per Mahasiswa'!Z10)</f>
        <v/>
      </c>
      <c r="BZ10" s="7">
        <f>IF(BY10="","",VLOOKUP(BY10,'Bobot CPMK'!$B$17:$D$21,2,TRUE()))</f>
        <v/>
      </c>
      <c r="CA10" s="7">
        <f>IF(BY10="","",IF(BY10&gt;='Bobot CPMK'!$T$17,"Lulus","Tidak Lulus"))</f>
        <v/>
      </c>
    </row>
    <row r="11">
      <c r="A11" s="7" t="n">
        <v>7</v>
      </c>
      <c r="B11" s="10" t="n"/>
      <c r="C11" s="9" t="n"/>
      <c r="D11" s="10" t="n"/>
      <c r="E11" s="10" t="n"/>
      <c r="F11" s="10" t="n"/>
      <c r="G11" s="10" t="n"/>
      <c r="H11" s="10" t="n"/>
      <c r="I11" s="10" t="n"/>
      <c r="J11" s="10" t="n"/>
      <c r="K11" s="10" t="n"/>
      <c r="L11" s="10" t="n"/>
      <c r="M11" s="10" t="n"/>
      <c r="N11" s="10" t="n"/>
      <c r="O11" s="10" t="n"/>
      <c r="P11" s="10" t="n"/>
      <c r="Q11" s="10" t="n"/>
      <c r="R11" s="10" t="n"/>
      <c r="S11" s="10" t="n"/>
      <c r="T11" s="10" t="n"/>
      <c r="U11" s="10" t="n"/>
      <c r="V11" s="10" t="n"/>
      <c r="W11" s="10" t="n"/>
      <c r="X11" s="10" t="n"/>
      <c r="Y11" s="10" t="n"/>
      <c r="Z11" s="10" t="n"/>
      <c r="AA11" s="10" t="n"/>
      <c r="AB11" s="10" t="n"/>
      <c r="AC11" s="10" t="n"/>
      <c r="AD11" s="10" t="n"/>
      <c r="AE11" s="10" t="n"/>
      <c r="AF11" s="10" t="n"/>
      <c r="AG11" s="10" t="n"/>
      <c r="AH11" s="10" t="n"/>
      <c r="AI11" s="10" t="n"/>
      <c r="AJ11" s="10" t="n"/>
      <c r="AK11" s="10" t="n"/>
      <c r="AL11" s="10" t="n"/>
      <c r="AM11" s="10" t="n"/>
      <c r="AN11" s="10" t="n"/>
      <c r="AO11" s="10" t="n"/>
      <c r="AP11" s="10" t="n"/>
      <c r="AQ11" s="10" t="n"/>
      <c r="AR11" s="10" t="n"/>
      <c r="AS11" s="10" t="n"/>
      <c r="AT11" s="10" t="n"/>
      <c r="AU11" s="10" t="n"/>
      <c r="AV11" s="10" t="n"/>
      <c r="AW11" s="10" t="n"/>
      <c r="AX11" s="10" t="n"/>
      <c r="AY11" s="10" t="n"/>
      <c r="AZ11" s="10" t="n"/>
      <c r="BA11" s="10" t="n"/>
      <c r="BB11" s="10" t="n"/>
      <c r="BC11" s="10" t="n"/>
      <c r="BD11" s="10" t="n"/>
      <c r="BE11" s="10" t="n"/>
      <c r="BF11" s="10" t="n"/>
      <c r="BG11" s="10" t="n"/>
      <c r="BH11" s="10" t="n"/>
      <c r="BI11" s="10" t="n"/>
      <c r="BJ11" s="10" t="n"/>
      <c r="BK11" s="10" t="n"/>
      <c r="BL11" s="10" t="n"/>
      <c r="BM11" s="10" t="n"/>
      <c r="BN11" s="10" t="n"/>
      <c r="BO11" s="10" t="n"/>
      <c r="BP11" s="10" t="n"/>
      <c r="BQ11" s="10" t="n"/>
      <c r="BR11" s="10" t="n"/>
      <c r="BS11" s="10" t="n"/>
      <c r="BT11" s="10" t="n"/>
      <c r="BU11" s="10" t="n"/>
      <c r="BV11" s="10" t="n"/>
      <c r="BW11" s="10" t="n"/>
      <c r="BX11" s="10" t="n"/>
      <c r="BY11" s="7">
        <f>IF($B11="","",'Nilai CPMK per Mahasiswa'!Z11)</f>
        <v/>
      </c>
      <c r="BZ11" s="7">
        <f>IF(BY11="","",VLOOKUP(BY11,'Bobot CPMK'!$B$17:$D$21,2,TRUE()))</f>
        <v/>
      </c>
      <c r="CA11" s="7">
        <f>IF(BY11="","",IF(BY11&gt;='Bobot CPMK'!$T$17,"Lulus","Tidak Lulus"))</f>
        <v/>
      </c>
    </row>
    <row r="12">
      <c r="A12" s="7" t="n">
        <v>8</v>
      </c>
      <c r="B12" s="10" t="n"/>
      <c r="C12" s="9" t="n"/>
      <c r="D12" s="10" t="n"/>
      <c r="E12" s="10" t="n"/>
      <c r="F12" s="10" t="n"/>
      <c r="G12" s="10" t="n"/>
      <c r="H12" s="10" t="n"/>
      <c r="I12" s="10" t="n"/>
      <c r="J12" s="10" t="n"/>
      <c r="K12" s="10" t="n"/>
      <c r="L12" s="10" t="n"/>
      <c r="M12" s="10" t="n"/>
      <c r="N12" s="10" t="n"/>
      <c r="O12" s="10" t="n"/>
      <c r="P12" s="10" t="n"/>
      <c r="Q12" s="10" t="n"/>
      <c r="R12" s="10" t="n"/>
      <c r="S12" s="10" t="n"/>
      <c r="T12" s="10" t="n"/>
      <c r="U12" s="10" t="n"/>
      <c r="V12" s="10" t="n"/>
      <c r="W12" s="10" t="n"/>
      <c r="X12" s="10" t="n"/>
      <c r="Y12" s="10" t="n"/>
      <c r="Z12" s="10" t="n"/>
      <c r="AA12" s="10" t="n"/>
      <c r="AB12" s="10" t="n"/>
      <c r="AC12" s="10" t="n"/>
      <c r="AD12" s="10" t="n"/>
      <c r="AE12" s="10" t="n"/>
      <c r="AF12" s="10" t="n"/>
      <c r="AG12" s="10" t="n"/>
      <c r="AH12" s="10" t="n"/>
      <c r="AI12" s="10" t="n"/>
      <c r="AJ12" s="10" t="n"/>
      <c r="AK12" s="10" t="n"/>
      <c r="AL12" s="10" t="n"/>
      <c r="AM12" s="10" t="n"/>
      <c r="AN12" s="10" t="n"/>
      <c r="AO12" s="10" t="n"/>
      <c r="AP12" s="10" t="n"/>
      <c r="AQ12" s="10" t="n"/>
      <c r="AR12" s="10" t="n"/>
      <c r="AS12" s="10" t="n"/>
      <c r="AT12" s="10" t="n"/>
      <c r="AU12" s="10" t="n"/>
      <c r="AV12" s="10" t="n"/>
      <c r="AW12" s="10" t="n"/>
      <c r="AX12" s="10" t="n"/>
      <c r="AY12" s="10" t="n"/>
      <c r="AZ12" s="10" t="n"/>
      <c r="BA12" s="10" t="n"/>
      <c r="BB12" s="10" t="n"/>
      <c r="BC12" s="10" t="n"/>
      <c r="BD12" s="10" t="n"/>
      <c r="BE12" s="10" t="n"/>
      <c r="BF12" s="10" t="n"/>
      <c r="BG12" s="10" t="n"/>
      <c r="BH12" s="10" t="n"/>
      <c r="BI12" s="10" t="n"/>
      <c r="BJ12" s="10" t="n"/>
      <c r="BK12" s="10" t="n"/>
      <c r="BL12" s="10" t="n"/>
      <c r="BM12" s="10" t="n"/>
      <c r="BN12" s="10" t="n"/>
      <c r="BO12" s="10" t="n"/>
      <c r="BP12" s="10" t="n"/>
      <c r="BQ12" s="10" t="n"/>
      <c r="BR12" s="10" t="n"/>
      <c r="BS12" s="10" t="n"/>
      <c r="BT12" s="10" t="n"/>
      <c r="BU12" s="10" t="n"/>
      <c r="BV12" s="10" t="n"/>
      <c r="BW12" s="10" t="n"/>
      <c r="BX12" s="10" t="n"/>
      <c r="BY12" s="7">
        <f>IF($B12="","",'Nilai CPMK per Mahasiswa'!Z12)</f>
        <v/>
      </c>
      <c r="BZ12" s="7">
        <f>IF(BY12="","",VLOOKUP(BY12,'Bobot CPMK'!$B$17:$D$21,2,TRUE()))</f>
        <v/>
      </c>
      <c r="CA12" s="7">
        <f>IF(BY12="","",IF(BY12&gt;='Bobot CPMK'!$T$17,"Lulus","Tidak Lulus"))</f>
        <v/>
      </c>
    </row>
    <row r="13">
      <c r="A13" s="7" t="n">
        <v>9</v>
      </c>
      <c r="B13" s="10" t="n"/>
      <c r="C13" s="9" t="n"/>
      <c r="D13" s="10" t="n"/>
      <c r="E13" s="10" t="n"/>
      <c r="F13" s="10" t="n"/>
      <c r="G13" s="10" t="n"/>
      <c r="H13" s="10" t="n"/>
      <c r="I13" s="10" t="n"/>
      <c r="J13" s="10" t="n"/>
      <c r="K13" s="10" t="n"/>
      <c r="L13" s="10" t="n"/>
      <c r="M13" s="10" t="n"/>
      <c r="N13" s="10" t="n"/>
      <c r="O13" s="10" t="n"/>
      <c r="P13" s="10" t="n"/>
      <c r="Q13" s="10" t="n"/>
      <c r="R13" s="10" t="n"/>
      <c r="S13" s="10" t="n"/>
      <c r="T13" s="10" t="n"/>
      <c r="U13" s="10" t="n"/>
      <c r="V13" s="10" t="n"/>
      <c r="W13" s="10" t="n"/>
      <c r="X13" s="10" t="n"/>
      <c r="Y13" s="10" t="n"/>
      <c r="Z13" s="10" t="n"/>
      <c r="AA13" s="10" t="n"/>
      <c r="AB13" s="10" t="n"/>
      <c r="AC13" s="10" t="n"/>
      <c r="AD13" s="10" t="n"/>
      <c r="AE13" s="10" t="n"/>
      <c r="AF13" s="10" t="n"/>
      <c r="AG13" s="10" t="n"/>
      <c r="AH13" s="10" t="n"/>
      <c r="AI13" s="10" t="n"/>
      <c r="AJ13" s="10" t="n"/>
      <c r="AK13" s="10" t="n"/>
      <c r="AL13" s="10" t="n"/>
      <c r="AM13" s="10" t="n"/>
      <c r="AN13" s="10" t="n"/>
      <c r="AO13" s="10" t="n"/>
      <c r="AP13" s="10" t="n"/>
      <c r="AQ13" s="10" t="n"/>
      <c r="AR13" s="10" t="n"/>
      <c r="AS13" s="10" t="n"/>
      <c r="AT13" s="10" t="n"/>
      <c r="AU13" s="10" t="n"/>
      <c r="AV13" s="10" t="n"/>
      <c r="AW13" s="10" t="n"/>
      <c r="AX13" s="10" t="n"/>
      <c r="AY13" s="10" t="n"/>
      <c r="AZ13" s="10" t="n"/>
      <c r="BA13" s="10" t="n"/>
      <c r="BB13" s="10" t="n"/>
      <c r="BC13" s="10" t="n"/>
      <c r="BD13" s="10" t="n"/>
      <c r="BE13" s="10" t="n"/>
      <c r="BF13" s="10" t="n"/>
      <c r="BG13" s="10" t="n"/>
      <c r="BH13" s="10" t="n"/>
      <c r="BI13" s="10" t="n"/>
      <c r="BJ13" s="10" t="n"/>
      <c r="BK13" s="10" t="n"/>
      <c r="BL13" s="10" t="n"/>
      <c r="BM13" s="10" t="n"/>
      <c r="BN13" s="10" t="n"/>
      <c r="BO13" s="10" t="n"/>
      <c r="BP13" s="10" t="n"/>
      <c r="BQ13" s="10" t="n"/>
      <c r="BR13" s="10" t="n"/>
      <c r="BS13" s="10" t="n"/>
      <c r="BT13" s="10" t="n"/>
      <c r="BU13" s="10" t="n"/>
      <c r="BV13" s="10" t="n"/>
      <c r="BW13" s="10" t="n"/>
      <c r="BX13" s="10" t="n"/>
      <c r="BY13" s="7">
        <f>IF($B13="","",'Nilai CPMK per Mahasiswa'!Z13)</f>
        <v/>
      </c>
      <c r="BZ13" s="7">
        <f>IF(BY13="","",VLOOKUP(BY13,'Bobot CPMK'!$B$17:$D$21,2,TRUE()))</f>
        <v/>
      </c>
      <c r="CA13" s="7">
        <f>IF(BY13="","",IF(BY13&gt;='Bobot CPMK'!$T$17,"Lulus","Tidak Lulus"))</f>
        <v/>
      </c>
    </row>
    <row r="14">
      <c r="A14" s="7" t="n">
        <v>10</v>
      </c>
      <c r="B14" s="10" t="n"/>
      <c r="C14" s="9" t="n"/>
      <c r="D14" s="10" t="n"/>
      <c r="E14" s="10" t="n"/>
      <c r="F14" s="10" t="n"/>
      <c r="G14" s="10" t="n"/>
      <c r="H14" s="10" t="n"/>
      <c r="I14" s="10" t="n"/>
      <c r="J14" s="10" t="n"/>
      <c r="K14" s="10" t="n"/>
      <c r="L14" s="10" t="n"/>
      <c r="M14" s="10" t="n"/>
      <c r="N14" s="10" t="n"/>
      <c r="O14" s="10" t="n"/>
      <c r="P14" s="10" t="n"/>
      <c r="Q14" s="10" t="n"/>
      <c r="R14" s="10" t="n"/>
      <c r="S14" s="10" t="n"/>
      <c r="T14" s="10" t="n"/>
      <c r="U14" s="10" t="n"/>
      <c r="V14" s="10" t="n"/>
      <c r="W14" s="10" t="n"/>
      <c r="X14" s="10" t="n"/>
      <c r="Y14" s="10" t="n"/>
      <c r="Z14" s="10" t="n"/>
      <c r="AA14" s="10" t="n"/>
      <c r="AB14" s="10" t="n"/>
      <c r="AC14" s="10" t="n"/>
      <c r="AD14" s="10" t="n"/>
      <c r="AE14" s="10" t="n"/>
      <c r="AF14" s="10" t="n"/>
      <c r="AG14" s="10" t="n"/>
      <c r="AH14" s="10" t="n"/>
      <c r="AI14" s="10" t="n"/>
      <c r="AJ14" s="10" t="n"/>
      <c r="AK14" s="10" t="n"/>
      <c r="AL14" s="10" t="n"/>
      <c r="AM14" s="10" t="n"/>
      <c r="AN14" s="10" t="n"/>
      <c r="AO14" s="10" t="n"/>
      <c r="AP14" s="10" t="n"/>
      <c r="AQ14" s="10" t="n"/>
      <c r="AR14" s="10" t="n"/>
      <c r="AS14" s="10" t="n"/>
      <c r="AT14" s="10" t="n"/>
      <c r="AU14" s="10" t="n"/>
      <c r="AV14" s="10" t="n"/>
      <c r="AW14" s="10" t="n"/>
      <c r="AX14" s="10" t="n"/>
      <c r="AY14" s="10" t="n"/>
      <c r="AZ14" s="10" t="n"/>
      <c r="BA14" s="10" t="n"/>
      <c r="BB14" s="10" t="n"/>
      <c r="BC14" s="10" t="n"/>
      <c r="BD14" s="10" t="n"/>
      <c r="BE14" s="10" t="n"/>
      <c r="BF14" s="10" t="n"/>
      <c r="BG14" s="10" t="n"/>
      <c r="BH14" s="10" t="n"/>
      <c r="BI14" s="10" t="n"/>
      <c r="BJ14" s="10" t="n"/>
      <c r="BK14" s="10" t="n"/>
      <c r="BL14" s="10" t="n"/>
      <c r="BM14" s="10" t="n"/>
      <c r="BN14" s="10" t="n"/>
      <c r="BO14" s="10" t="n"/>
      <c r="BP14" s="10" t="n"/>
      <c r="BQ14" s="10" t="n"/>
      <c r="BR14" s="10" t="n"/>
      <c r="BS14" s="10" t="n"/>
      <c r="BT14" s="10" t="n"/>
      <c r="BU14" s="10" t="n"/>
      <c r="BV14" s="10" t="n"/>
      <c r="BW14" s="10" t="n"/>
      <c r="BX14" s="10" t="n"/>
      <c r="BY14" s="7">
        <f>IF($B14="","",'Nilai CPMK per Mahasiswa'!Z14)</f>
        <v/>
      </c>
      <c r="BZ14" s="7">
        <f>IF(BY14="","",VLOOKUP(BY14,'Bobot CPMK'!$B$17:$D$21,2,TRUE()))</f>
        <v/>
      </c>
      <c r="CA14" s="7">
        <f>IF(BY14="","",IF(BY14&gt;='Bobot CPMK'!$T$17,"Lulus","Tidak Lulus"))</f>
        <v/>
      </c>
    </row>
    <row r="15">
      <c r="A15" s="7" t="n">
        <v>11</v>
      </c>
      <c r="B15" s="10" t="n"/>
      <c r="C15" s="9" t="n"/>
      <c r="D15" s="10" t="n"/>
      <c r="E15" s="10" t="n"/>
      <c r="F15" s="10" t="n"/>
      <c r="G15" s="10" t="n"/>
      <c r="H15" s="10" t="n"/>
      <c r="I15" s="10" t="n"/>
      <c r="J15" s="10" t="n"/>
      <c r="K15" s="10" t="n"/>
      <c r="L15" s="10" t="n"/>
      <c r="M15" s="10" t="n"/>
      <c r="N15" s="10" t="n"/>
      <c r="O15" s="10" t="n"/>
      <c r="P15" s="10" t="n"/>
      <c r="Q15" s="10" t="n"/>
      <c r="R15" s="10" t="n"/>
      <c r="S15" s="10" t="n"/>
      <c r="T15" s="10" t="n"/>
      <c r="U15" s="10" t="n"/>
      <c r="V15" s="10" t="n"/>
      <c r="W15" s="10" t="n"/>
      <c r="X15" s="10" t="n"/>
      <c r="Y15" s="10" t="n"/>
      <c r="Z15" s="10" t="n"/>
      <c r="AA15" s="10" t="n"/>
      <c r="AB15" s="10" t="n"/>
      <c r="AC15" s="10" t="n"/>
      <c r="AD15" s="10" t="n"/>
      <c r="AE15" s="10" t="n"/>
      <c r="AF15" s="10" t="n"/>
      <c r="AG15" s="10" t="n"/>
      <c r="AH15" s="10" t="n"/>
      <c r="AI15" s="10" t="n"/>
      <c r="AJ15" s="10" t="n"/>
      <c r="AK15" s="10" t="n"/>
      <c r="AL15" s="10" t="n"/>
      <c r="AM15" s="10" t="n"/>
      <c r="AN15" s="10" t="n"/>
      <c r="AO15" s="10" t="n"/>
      <c r="AP15" s="10" t="n"/>
      <c r="AQ15" s="10" t="n"/>
      <c r="AR15" s="10" t="n"/>
      <c r="AS15" s="10" t="n"/>
      <c r="AT15" s="10" t="n"/>
      <c r="AU15" s="10" t="n"/>
      <c r="AV15" s="10" t="n"/>
      <c r="AW15" s="10" t="n"/>
      <c r="AX15" s="10" t="n"/>
      <c r="AY15" s="10" t="n"/>
      <c r="AZ15" s="10" t="n"/>
      <c r="BA15" s="10" t="n"/>
      <c r="BB15" s="10" t="n"/>
      <c r="BC15" s="10" t="n"/>
      <c r="BD15" s="10" t="n"/>
      <c r="BE15" s="10" t="n"/>
      <c r="BF15" s="10" t="n"/>
      <c r="BG15" s="10" t="n"/>
      <c r="BH15" s="10" t="n"/>
      <c r="BI15" s="10" t="n"/>
      <c r="BJ15" s="10" t="n"/>
      <c r="BK15" s="10" t="n"/>
      <c r="BL15" s="10" t="n"/>
      <c r="BM15" s="10" t="n"/>
      <c r="BN15" s="10" t="n"/>
      <c r="BO15" s="10" t="n"/>
      <c r="BP15" s="10" t="n"/>
      <c r="BQ15" s="10" t="n"/>
      <c r="BR15" s="10" t="n"/>
      <c r="BS15" s="10" t="n"/>
      <c r="BT15" s="10" t="n"/>
      <c r="BU15" s="10" t="n"/>
      <c r="BV15" s="10" t="n"/>
      <c r="BW15" s="10" t="n"/>
      <c r="BX15" s="10" t="n"/>
      <c r="BY15" s="7">
        <f>IF($B15="","",'Nilai CPMK per Mahasiswa'!Z15)</f>
        <v/>
      </c>
      <c r="BZ15" s="7">
        <f>IF(BY15="","",VLOOKUP(BY15,'Bobot CPMK'!$B$17:$D$21,2,TRUE()))</f>
        <v/>
      </c>
      <c r="CA15" s="7">
        <f>IF(BY15="","",IF(BY15&gt;='Bobot CPMK'!$T$17,"Lulus","Tidak Lulus"))</f>
        <v/>
      </c>
    </row>
    <row r="16">
      <c r="A16" s="7" t="n">
        <v>12</v>
      </c>
      <c r="B16" s="10" t="n"/>
      <c r="C16" s="9" t="n"/>
      <c r="D16" s="10" t="n"/>
      <c r="E16" s="10" t="n"/>
      <c r="F16" s="10" t="n"/>
      <c r="G16" s="10" t="n"/>
      <c r="H16" s="10" t="n"/>
      <c r="I16" s="10" t="n"/>
      <c r="J16" s="10" t="n"/>
      <c r="K16" s="10" t="n"/>
      <c r="L16" s="10" t="n"/>
      <c r="M16" s="10" t="n"/>
      <c r="N16" s="10" t="n"/>
      <c r="O16" s="10" t="n"/>
      <c r="P16" s="10" t="n"/>
      <c r="Q16" s="10" t="n"/>
      <c r="R16" s="10" t="n"/>
      <c r="S16" s="10" t="n"/>
      <c r="T16" s="10" t="n"/>
      <c r="U16" s="10" t="n"/>
      <c r="V16" s="10" t="n"/>
      <c r="W16" s="10" t="n"/>
      <c r="X16" s="10" t="n"/>
      <c r="Y16" s="10" t="n"/>
      <c r="Z16" s="10" t="n"/>
      <c r="AA16" s="10" t="n"/>
      <c r="AB16" s="10" t="n"/>
      <c r="AC16" s="10" t="n"/>
      <c r="AD16" s="10" t="n"/>
      <c r="AE16" s="10" t="n"/>
      <c r="AF16" s="10" t="n"/>
      <c r="AG16" s="10" t="n"/>
      <c r="AH16" s="10" t="n"/>
      <c r="AI16" s="10" t="n"/>
      <c r="AJ16" s="10" t="n"/>
      <c r="AK16" s="10" t="n"/>
      <c r="AL16" s="10" t="n"/>
      <c r="AM16" s="10" t="n"/>
      <c r="AN16" s="10" t="n"/>
      <c r="AO16" s="10" t="n"/>
      <c r="AP16" s="10" t="n"/>
      <c r="AQ16" s="10" t="n"/>
      <c r="AR16" s="10" t="n"/>
      <c r="AS16" s="10" t="n"/>
      <c r="AT16" s="10" t="n"/>
      <c r="AU16" s="10" t="n"/>
      <c r="AV16" s="10" t="n"/>
      <c r="AW16" s="10" t="n"/>
      <c r="AX16" s="10" t="n"/>
      <c r="AY16" s="10" t="n"/>
      <c r="AZ16" s="10" t="n"/>
      <c r="BA16" s="10" t="n"/>
      <c r="BB16" s="10" t="n"/>
      <c r="BC16" s="10" t="n"/>
      <c r="BD16" s="10" t="n"/>
      <c r="BE16" s="10" t="n"/>
      <c r="BF16" s="10" t="n"/>
      <c r="BG16" s="10" t="n"/>
      <c r="BH16" s="10" t="n"/>
      <c r="BI16" s="10" t="n"/>
      <c r="BJ16" s="10" t="n"/>
      <c r="BK16" s="10" t="n"/>
      <c r="BL16" s="10" t="n"/>
      <c r="BM16" s="10" t="n"/>
      <c r="BN16" s="10" t="n"/>
      <c r="BO16" s="10" t="n"/>
      <c r="BP16" s="10" t="n"/>
      <c r="BQ16" s="10" t="n"/>
      <c r="BR16" s="10" t="n"/>
      <c r="BS16" s="10" t="n"/>
      <c r="BT16" s="10" t="n"/>
      <c r="BU16" s="10" t="n"/>
      <c r="BV16" s="10" t="n"/>
      <c r="BW16" s="10" t="n"/>
      <c r="BX16" s="10" t="n"/>
      <c r="BY16" s="7">
        <f>IF($B16="","",'Nilai CPMK per Mahasiswa'!Z16)</f>
        <v/>
      </c>
      <c r="BZ16" s="7">
        <f>IF(BY16="","",VLOOKUP(BY16,'Bobot CPMK'!$B$17:$D$21,2,TRUE()))</f>
        <v/>
      </c>
      <c r="CA16" s="7">
        <f>IF(BY16="","",IF(BY16&gt;='Bobot CPMK'!$T$17,"Lulus","Tidak Lulus"))</f>
        <v/>
      </c>
    </row>
    <row r="17">
      <c r="A17" s="7" t="n">
        <v>13</v>
      </c>
      <c r="B17" s="10" t="n"/>
      <c r="C17" s="9" t="n"/>
      <c r="D17" s="10" t="n"/>
      <c r="E17" s="10" t="n"/>
      <c r="F17" s="10" t="n"/>
      <c r="G17" s="10" t="n"/>
      <c r="H17" s="10" t="n"/>
      <c r="I17" s="10" t="n"/>
      <c r="J17" s="10" t="n"/>
      <c r="K17" s="10" t="n"/>
      <c r="L17" s="10" t="n"/>
      <c r="M17" s="10" t="n"/>
      <c r="N17" s="10" t="n"/>
      <c r="O17" s="10" t="n"/>
      <c r="P17" s="10" t="n"/>
      <c r="Q17" s="10" t="n"/>
      <c r="R17" s="10" t="n"/>
      <c r="S17" s="10" t="n"/>
      <c r="T17" s="10" t="n"/>
      <c r="U17" s="10" t="n"/>
      <c r="V17" s="10" t="n"/>
      <c r="W17" s="10" t="n"/>
      <c r="X17" s="10" t="n"/>
      <c r="Y17" s="10" t="n"/>
      <c r="Z17" s="10" t="n"/>
      <c r="AA17" s="10" t="n"/>
      <c r="AB17" s="10" t="n"/>
      <c r="AC17" s="10" t="n"/>
      <c r="AD17" s="10" t="n"/>
      <c r="AE17" s="10" t="n"/>
      <c r="AF17" s="10" t="n"/>
      <c r="AG17" s="10" t="n"/>
      <c r="AH17" s="10" t="n"/>
      <c r="AI17" s="10" t="n"/>
      <c r="AJ17" s="10" t="n"/>
      <c r="AK17" s="10" t="n"/>
      <c r="AL17" s="10" t="n"/>
      <c r="AM17" s="10" t="n"/>
      <c r="AN17" s="10" t="n"/>
      <c r="AO17" s="10" t="n"/>
      <c r="AP17" s="10" t="n"/>
      <c r="AQ17" s="10" t="n"/>
      <c r="AR17" s="10" t="n"/>
      <c r="AS17" s="10" t="n"/>
      <c r="AT17" s="10" t="n"/>
      <c r="AU17" s="10" t="n"/>
      <c r="AV17" s="10" t="n"/>
      <c r="AW17" s="10" t="n"/>
      <c r="AX17" s="10" t="n"/>
      <c r="AY17" s="10" t="n"/>
      <c r="AZ17" s="10" t="n"/>
      <c r="BA17" s="10" t="n"/>
      <c r="BB17" s="10" t="n"/>
      <c r="BC17" s="10" t="n"/>
      <c r="BD17" s="10" t="n"/>
      <c r="BE17" s="10" t="n"/>
      <c r="BF17" s="10" t="n"/>
      <c r="BG17" s="10" t="n"/>
      <c r="BH17" s="10" t="n"/>
      <c r="BI17" s="10" t="n"/>
      <c r="BJ17" s="10" t="n"/>
      <c r="BK17" s="10" t="n"/>
      <c r="BL17" s="10" t="n"/>
      <c r="BM17" s="10" t="n"/>
      <c r="BN17" s="10" t="n"/>
      <c r="BO17" s="10" t="n"/>
      <c r="BP17" s="10" t="n"/>
      <c r="BQ17" s="10" t="n"/>
      <c r="BR17" s="10" t="n"/>
      <c r="BS17" s="10" t="n"/>
      <c r="BT17" s="10" t="n"/>
      <c r="BU17" s="10" t="n"/>
      <c r="BV17" s="10" t="n"/>
      <c r="BW17" s="10" t="n"/>
      <c r="BX17" s="10" t="n"/>
      <c r="BY17" s="7">
        <f>IF($B17="","",'Nilai CPMK per Mahasiswa'!Z17)</f>
        <v/>
      </c>
      <c r="BZ17" s="7">
        <f>IF(BY17="","",VLOOKUP(BY17,'Bobot CPMK'!$B$17:$D$21,2,TRUE()))</f>
        <v/>
      </c>
      <c r="CA17" s="7">
        <f>IF(BY17="","",IF(BY17&gt;='Bobot CPMK'!$T$17,"Lulus","Tidak Lulus"))</f>
        <v/>
      </c>
    </row>
    <row r="18">
      <c r="A18" s="7" t="n">
        <v>14</v>
      </c>
      <c r="B18" s="10" t="n"/>
      <c r="C18" s="9" t="n"/>
      <c r="D18" s="10" t="n"/>
      <c r="E18" s="10" t="n"/>
      <c r="F18" s="10" t="n"/>
      <c r="G18" s="10" t="n"/>
      <c r="H18" s="10" t="n"/>
      <c r="I18" s="10" t="n"/>
      <c r="J18" s="10" t="n"/>
      <c r="K18" s="10" t="n"/>
      <c r="L18" s="10" t="n"/>
      <c r="M18" s="10" t="n"/>
      <c r="N18" s="10" t="n"/>
      <c r="O18" s="10" t="n"/>
      <c r="P18" s="10" t="n"/>
      <c r="Q18" s="10" t="n"/>
      <c r="R18" s="10" t="n"/>
      <c r="S18" s="10" t="n"/>
      <c r="T18" s="10" t="n"/>
      <c r="U18" s="10" t="n"/>
      <c r="V18" s="10" t="n"/>
      <c r="W18" s="10" t="n"/>
      <c r="X18" s="10" t="n"/>
      <c r="Y18" s="10" t="n"/>
      <c r="Z18" s="10" t="n"/>
      <c r="AA18" s="10" t="n"/>
      <c r="AB18" s="10" t="n"/>
      <c r="AC18" s="10" t="n"/>
      <c r="AD18" s="10" t="n"/>
      <c r="AE18" s="10" t="n"/>
      <c r="AF18" s="10" t="n"/>
      <c r="AG18" s="10" t="n"/>
      <c r="AH18" s="10" t="n"/>
      <c r="AI18" s="10" t="n"/>
      <c r="AJ18" s="10" t="n"/>
      <c r="AK18" s="10" t="n"/>
      <c r="AL18" s="10" t="n"/>
      <c r="AM18" s="10" t="n"/>
      <c r="AN18" s="10" t="n"/>
      <c r="AO18" s="10" t="n"/>
      <c r="AP18" s="10" t="n"/>
      <c r="AQ18" s="10" t="n"/>
      <c r="AR18" s="10" t="n"/>
      <c r="AS18" s="10" t="n"/>
      <c r="AT18" s="10" t="n"/>
      <c r="AU18" s="10" t="n"/>
      <c r="AV18" s="10" t="n"/>
      <c r="AW18" s="10" t="n"/>
      <c r="AX18" s="10" t="n"/>
      <c r="AY18" s="10" t="n"/>
      <c r="AZ18" s="10" t="n"/>
      <c r="BA18" s="10" t="n"/>
      <c r="BB18" s="10" t="n"/>
      <c r="BC18" s="10" t="n"/>
      <c r="BD18" s="10" t="n"/>
      <c r="BE18" s="10" t="n"/>
      <c r="BF18" s="10" t="n"/>
      <c r="BG18" s="10" t="n"/>
      <c r="BH18" s="10" t="n"/>
      <c r="BI18" s="10" t="n"/>
      <c r="BJ18" s="10" t="n"/>
      <c r="BK18" s="10" t="n"/>
      <c r="BL18" s="10" t="n"/>
      <c r="BM18" s="10" t="n"/>
      <c r="BN18" s="10" t="n"/>
      <c r="BO18" s="10" t="n"/>
      <c r="BP18" s="10" t="n"/>
      <c r="BQ18" s="10" t="n"/>
      <c r="BR18" s="10" t="n"/>
      <c r="BS18" s="10" t="n"/>
      <c r="BT18" s="10" t="n"/>
      <c r="BU18" s="10" t="n"/>
      <c r="BV18" s="10" t="n"/>
      <c r="BW18" s="10" t="n"/>
      <c r="BX18" s="10" t="n"/>
      <c r="BY18" s="7">
        <f>IF($B18="","",'Nilai CPMK per Mahasiswa'!Z18)</f>
        <v/>
      </c>
      <c r="BZ18" s="7">
        <f>IF(BY18="","",VLOOKUP(BY18,'Bobot CPMK'!$B$17:$D$21,2,TRUE()))</f>
        <v/>
      </c>
      <c r="CA18" s="7">
        <f>IF(BY18="","",IF(BY18&gt;='Bobot CPMK'!$T$17,"Lulus","Tidak Lulus"))</f>
        <v/>
      </c>
    </row>
    <row r="19">
      <c r="A19" s="7" t="n">
        <v>15</v>
      </c>
      <c r="B19" s="10" t="n"/>
      <c r="C19" s="9" t="n"/>
      <c r="D19" s="10" t="n"/>
      <c r="E19" s="10" t="n"/>
      <c r="F19" s="10" t="n"/>
      <c r="G19" s="10" t="n"/>
      <c r="H19" s="10" t="n"/>
      <c r="I19" s="10" t="n"/>
      <c r="J19" s="10" t="n"/>
      <c r="K19" s="10" t="n"/>
      <c r="L19" s="10" t="n"/>
      <c r="M19" s="10" t="n"/>
      <c r="N19" s="10" t="n"/>
      <c r="O19" s="10" t="n"/>
      <c r="P19" s="10" t="n"/>
      <c r="Q19" s="10" t="n"/>
      <c r="R19" s="10" t="n"/>
      <c r="S19" s="10" t="n"/>
      <c r="T19" s="10" t="n"/>
      <c r="U19" s="10" t="n"/>
      <c r="V19" s="10" t="n"/>
      <c r="W19" s="10" t="n"/>
      <c r="X19" s="10" t="n"/>
      <c r="Y19" s="10" t="n"/>
      <c r="Z19" s="10" t="n"/>
      <c r="AA19" s="10" t="n"/>
      <c r="AB19" s="10" t="n"/>
      <c r="AC19" s="10" t="n"/>
      <c r="AD19" s="10" t="n"/>
      <c r="AE19" s="10" t="n"/>
      <c r="AF19" s="10" t="n"/>
      <c r="AG19" s="10" t="n"/>
      <c r="AH19" s="10" t="n"/>
      <c r="AI19" s="10" t="n"/>
      <c r="AJ19" s="10" t="n"/>
      <c r="AK19" s="10" t="n"/>
      <c r="AL19" s="10" t="n"/>
      <c r="AM19" s="10" t="n"/>
      <c r="AN19" s="10" t="n"/>
      <c r="AO19" s="10" t="n"/>
      <c r="AP19" s="10" t="n"/>
      <c r="AQ19" s="10" t="n"/>
      <c r="AR19" s="10" t="n"/>
      <c r="AS19" s="10" t="n"/>
      <c r="AT19" s="10" t="n"/>
      <c r="AU19" s="10" t="n"/>
      <c r="AV19" s="10" t="n"/>
      <c r="AW19" s="10" t="n"/>
      <c r="AX19" s="10" t="n"/>
      <c r="AY19" s="10" t="n"/>
      <c r="AZ19" s="10" t="n"/>
      <c r="BA19" s="10" t="n"/>
      <c r="BB19" s="10" t="n"/>
      <c r="BC19" s="10" t="n"/>
      <c r="BD19" s="10" t="n"/>
      <c r="BE19" s="10" t="n"/>
      <c r="BF19" s="10" t="n"/>
      <c r="BG19" s="10" t="n"/>
      <c r="BH19" s="10" t="n"/>
      <c r="BI19" s="10" t="n"/>
      <c r="BJ19" s="10" t="n"/>
      <c r="BK19" s="10" t="n"/>
      <c r="BL19" s="10" t="n"/>
      <c r="BM19" s="10" t="n"/>
      <c r="BN19" s="10" t="n"/>
      <c r="BO19" s="10" t="n"/>
      <c r="BP19" s="10" t="n"/>
      <c r="BQ19" s="10" t="n"/>
      <c r="BR19" s="10" t="n"/>
      <c r="BS19" s="10" t="n"/>
      <c r="BT19" s="10" t="n"/>
      <c r="BU19" s="10" t="n"/>
      <c r="BV19" s="10" t="n"/>
      <c r="BW19" s="10" t="n"/>
      <c r="BX19" s="10" t="n"/>
      <c r="BY19" s="7">
        <f>IF($B19="","",'Nilai CPMK per Mahasiswa'!Z19)</f>
        <v/>
      </c>
      <c r="BZ19" s="7">
        <f>IF(BY19="","",VLOOKUP(BY19,'Bobot CPMK'!$B$17:$D$21,2,TRUE()))</f>
        <v/>
      </c>
      <c r="CA19" s="7">
        <f>IF(BY19="","",IF(BY19&gt;='Bobot CPMK'!$T$17,"Lulus","Tidak Lulus"))</f>
        <v/>
      </c>
    </row>
    <row r="20">
      <c r="A20" s="7" t="n">
        <v>16</v>
      </c>
      <c r="B20" s="10" t="n"/>
      <c r="C20" s="9" t="n"/>
      <c r="D20" s="10" t="n"/>
      <c r="E20" s="10" t="n"/>
      <c r="F20" s="10" t="n"/>
      <c r="G20" s="10" t="n"/>
      <c r="H20" s="10" t="n"/>
      <c r="I20" s="10" t="n"/>
      <c r="J20" s="10" t="n"/>
      <c r="K20" s="10" t="n"/>
      <c r="L20" s="10" t="n"/>
      <c r="M20" s="10" t="n"/>
      <c r="N20" s="10" t="n"/>
      <c r="O20" s="10" t="n"/>
      <c r="P20" s="10" t="n"/>
      <c r="Q20" s="10" t="n"/>
      <c r="R20" s="10" t="n"/>
      <c r="S20" s="10" t="n"/>
      <c r="T20" s="10" t="n"/>
      <c r="U20" s="10" t="n"/>
      <c r="V20" s="10" t="n"/>
      <c r="W20" s="10" t="n"/>
      <c r="X20" s="10" t="n"/>
      <c r="Y20" s="10" t="n"/>
      <c r="Z20" s="10" t="n"/>
      <c r="AA20" s="10" t="n"/>
      <c r="AB20" s="10" t="n"/>
      <c r="AC20" s="10" t="n"/>
      <c r="AD20" s="10" t="n"/>
      <c r="AE20" s="10" t="n"/>
      <c r="AF20" s="10" t="n"/>
      <c r="AG20" s="10" t="n"/>
      <c r="AH20" s="10" t="n"/>
      <c r="AI20" s="10" t="n"/>
      <c r="AJ20" s="10" t="n"/>
      <c r="AK20" s="10" t="n"/>
      <c r="AL20" s="10" t="n"/>
      <c r="AM20" s="10" t="n"/>
      <c r="AN20" s="10" t="n"/>
      <c r="AO20" s="10" t="n"/>
      <c r="AP20" s="10" t="n"/>
      <c r="AQ20" s="10" t="n"/>
      <c r="AR20" s="10" t="n"/>
      <c r="AS20" s="10" t="n"/>
      <c r="AT20" s="10" t="n"/>
      <c r="AU20" s="10" t="n"/>
      <c r="AV20" s="10" t="n"/>
      <c r="AW20" s="10" t="n"/>
      <c r="AX20" s="10" t="n"/>
      <c r="AY20" s="10" t="n"/>
      <c r="AZ20" s="10" t="n"/>
      <c r="BA20" s="10" t="n"/>
      <c r="BB20" s="10" t="n"/>
      <c r="BC20" s="10" t="n"/>
      <c r="BD20" s="10" t="n"/>
      <c r="BE20" s="10" t="n"/>
      <c r="BF20" s="10" t="n"/>
      <c r="BG20" s="10" t="n"/>
      <c r="BH20" s="10" t="n"/>
      <c r="BI20" s="10" t="n"/>
      <c r="BJ20" s="10" t="n"/>
      <c r="BK20" s="10" t="n"/>
      <c r="BL20" s="10" t="n"/>
      <c r="BM20" s="10" t="n"/>
      <c r="BN20" s="10" t="n"/>
      <c r="BO20" s="10" t="n"/>
      <c r="BP20" s="10" t="n"/>
      <c r="BQ20" s="10" t="n"/>
      <c r="BR20" s="10" t="n"/>
      <c r="BS20" s="10" t="n"/>
      <c r="BT20" s="10" t="n"/>
      <c r="BU20" s="10" t="n"/>
      <c r="BV20" s="10" t="n"/>
      <c r="BW20" s="10" t="n"/>
      <c r="BX20" s="10" t="n"/>
      <c r="BY20" s="7">
        <f>IF($B20="","",'Nilai CPMK per Mahasiswa'!Z20)</f>
        <v/>
      </c>
      <c r="BZ20" s="7">
        <f>IF(BY20="","",VLOOKUP(BY20,'Bobot CPMK'!$B$17:$D$21,2,TRUE()))</f>
        <v/>
      </c>
      <c r="CA20" s="7">
        <f>IF(BY20="","",IF(BY20&gt;='Bobot CPMK'!$T$17,"Lulus","Tidak Lulus"))</f>
        <v/>
      </c>
    </row>
    <row r="21">
      <c r="A21" s="7" t="n">
        <v>17</v>
      </c>
      <c r="B21" s="10" t="n"/>
      <c r="C21" s="9" t="n"/>
      <c r="D21" s="10" t="n"/>
      <c r="E21" s="10" t="n"/>
      <c r="F21" s="10" t="n"/>
      <c r="G21" s="10" t="n"/>
      <c r="H21" s="10" t="n"/>
      <c r="I21" s="10" t="n"/>
      <c r="J21" s="10" t="n"/>
      <c r="K21" s="10" t="n"/>
      <c r="L21" s="10" t="n"/>
      <c r="M21" s="10" t="n"/>
      <c r="N21" s="10" t="n"/>
      <c r="O21" s="10" t="n"/>
      <c r="P21" s="10" t="n"/>
      <c r="Q21" s="10" t="n"/>
      <c r="R21" s="10" t="n"/>
      <c r="S21" s="10" t="n"/>
      <c r="T21" s="10" t="n"/>
      <c r="U21" s="10" t="n"/>
      <c r="V21" s="10" t="n"/>
      <c r="W21" s="10" t="n"/>
      <c r="X21" s="10" t="n"/>
      <c r="Y21" s="10" t="n"/>
      <c r="Z21" s="10" t="n"/>
      <c r="AA21" s="10" t="n"/>
      <c r="AB21" s="10" t="n"/>
      <c r="AC21" s="10" t="n"/>
      <c r="AD21" s="10" t="n"/>
      <c r="AE21" s="10" t="n"/>
      <c r="AF21" s="10" t="n"/>
      <c r="AG21" s="10" t="n"/>
      <c r="AH21" s="10" t="n"/>
      <c r="AI21" s="10" t="n"/>
      <c r="AJ21" s="10" t="n"/>
      <c r="AK21" s="10" t="n"/>
      <c r="AL21" s="10" t="n"/>
      <c r="AM21" s="10" t="n"/>
      <c r="AN21" s="10" t="n"/>
      <c r="AO21" s="10" t="n"/>
      <c r="AP21" s="10" t="n"/>
      <c r="AQ21" s="10" t="n"/>
      <c r="AR21" s="10" t="n"/>
      <c r="AS21" s="10" t="n"/>
      <c r="AT21" s="10" t="n"/>
      <c r="AU21" s="10" t="n"/>
      <c r="AV21" s="10" t="n"/>
      <c r="AW21" s="10" t="n"/>
      <c r="AX21" s="10" t="n"/>
      <c r="AY21" s="10" t="n"/>
      <c r="AZ21" s="10" t="n"/>
      <c r="BA21" s="10" t="n"/>
      <c r="BB21" s="10" t="n"/>
      <c r="BC21" s="10" t="n"/>
      <c r="BD21" s="10" t="n"/>
      <c r="BE21" s="10" t="n"/>
      <c r="BF21" s="10" t="n"/>
      <c r="BG21" s="10" t="n"/>
      <c r="BH21" s="10" t="n"/>
      <c r="BI21" s="10" t="n"/>
      <c r="BJ21" s="10" t="n"/>
      <c r="BK21" s="10" t="n"/>
      <c r="BL21" s="10" t="n"/>
      <c r="BM21" s="10" t="n"/>
      <c r="BN21" s="10" t="n"/>
      <c r="BO21" s="10" t="n"/>
      <c r="BP21" s="10" t="n"/>
      <c r="BQ21" s="10" t="n"/>
      <c r="BR21" s="10" t="n"/>
      <c r="BS21" s="10" t="n"/>
      <c r="BT21" s="10" t="n"/>
      <c r="BU21" s="10" t="n"/>
      <c r="BV21" s="10" t="n"/>
      <c r="BW21" s="10" t="n"/>
      <c r="BX21" s="10" t="n"/>
      <c r="BY21" s="7">
        <f>IF($B21="","",'Nilai CPMK per Mahasiswa'!Z21)</f>
        <v/>
      </c>
      <c r="BZ21" s="7">
        <f>IF(BY21="","",VLOOKUP(BY21,'Bobot CPMK'!$B$17:$D$21,2,TRUE()))</f>
        <v/>
      </c>
      <c r="CA21" s="7">
        <f>IF(BY21="","",IF(BY21&gt;='Bobot CPMK'!$T$17,"Lulus","Tidak Lulus"))</f>
        <v/>
      </c>
    </row>
    <row r="22">
      <c r="A22" s="7" t="n">
        <v>18</v>
      </c>
      <c r="B22" s="10" t="n"/>
      <c r="C22" s="9" t="n"/>
      <c r="D22" s="10" t="n"/>
      <c r="E22" s="10" t="n"/>
      <c r="F22" s="10" t="n"/>
      <c r="G22" s="10" t="n"/>
      <c r="H22" s="10" t="n"/>
      <c r="I22" s="10" t="n"/>
      <c r="J22" s="10" t="n"/>
      <c r="K22" s="10" t="n"/>
      <c r="L22" s="10" t="n"/>
      <c r="M22" s="10" t="n"/>
      <c r="N22" s="10" t="n"/>
      <c r="O22" s="10" t="n"/>
      <c r="P22" s="10" t="n"/>
      <c r="Q22" s="10" t="n"/>
      <c r="R22" s="10" t="n"/>
      <c r="S22" s="10" t="n"/>
      <c r="T22" s="10" t="n"/>
      <c r="U22" s="10" t="n"/>
      <c r="V22" s="10" t="n"/>
      <c r="W22" s="10" t="n"/>
      <c r="X22" s="10" t="n"/>
      <c r="Y22" s="10" t="n"/>
      <c r="Z22" s="10" t="n"/>
      <c r="AA22" s="10" t="n"/>
      <c r="AB22" s="10" t="n"/>
      <c r="AC22" s="10" t="n"/>
      <c r="AD22" s="10" t="n"/>
      <c r="AE22" s="10" t="n"/>
      <c r="AF22" s="10" t="n"/>
      <c r="AG22" s="10" t="n"/>
      <c r="AH22" s="10" t="n"/>
      <c r="AI22" s="10" t="n"/>
      <c r="AJ22" s="10" t="n"/>
      <c r="AK22" s="10" t="n"/>
      <c r="AL22" s="10" t="n"/>
      <c r="AM22" s="10" t="n"/>
      <c r="AN22" s="10" t="n"/>
      <c r="AO22" s="10" t="n"/>
      <c r="AP22" s="10" t="n"/>
      <c r="AQ22" s="10" t="n"/>
      <c r="AR22" s="10" t="n"/>
      <c r="AS22" s="10" t="n"/>
      <c r="AT22" s="10" t="n"/>
      <c r="AU22" s="10" t="n"/>
      <c r="AV22" s="10" t="n"/>
      <c r="AW22" s="10" t="n"/>
      <c r="AX22" s="10" t="n"/>
      <c r="AY22" s="10" t="n"/>
      <c r="AZ22" s="10" t="n"/>
      <c r="BA22" s="10" t="n"/>
      <c r="BB22" s="10" t="n"/>
      <c r="BC22" s="10" t="n"/>
      <c r="BD22" s="10" t="n"/>
      <c r="BE22" s="10" t="n"/>
      <c r="BF22" s="10" t="n"/>
      <c r="BG22" s="10" t="n"/>
      <c r="BH22" s="10" t="n"/>
      <c r="BI22" s="10" t="n"/>
      <c r="BJ22" s="10" t="n"/>
      <c r="BK22" s="10" t="n"/>
      <c r="BL22" s="10" t="n"/>
      <c r="BM22" s="10" t="n"/>
      <c r="BN22" s="10" t="n"/>
      <c r="BO22" s="10" t="n"/>
      <c r="BP22" s="10" t="n"/>
      <c r="BQ22" s="10" t="n"/>
      <c r="BR22" s="10" t="n"/>
      <c r="BS22" s="10" t="n"/>
      <c r="BT22" s="10" t="n"/>
      <c r="BU22" s="10" t="n"/>
      <c r="BV22" s="10" t="n"/>
      <c r="BW22" s="10" t="n"/>
      <c r="BX22" s="10" t="n"/>
      <c r="BY22" s="7">
        <f>IF($B22="","",'Nilai CPMK per Mahasiswa'!Z22)</f>
        <v/>
      </c>
      <c r="BZ22" s="7">
        <f>IF(BY22="","",VLOOKUP(BY22,'Bobot CPMK'!$B$17:$D$21,2,TRUE()))</f>
        <v/>
      </c>
      <c r="CA22" s="7">
        <f>IF(BY22="","",IF(BY22&gt;='Bobot CPMK'!$T$17,"Lulus","Tidak Lulus"))</f>
        <v/>
      </c>
    </row>
    <row r="23">
      <c r="A23" s="7" t="n">
        <v>19</v>
      </c>
      <c r="B23" s="10" t="n"/>
      <c r="C23" s="9" t="n"/>
      <c r="D23" s="10" t="n"/>
      <c r="E23" s="10" t="n"/>
      <c r="F23" s="10" t="n"/>
      <c r="G23" s="10" t="n"/>
      <c r="H23" s="10" t="n"/>
      <c r="I23" s="10" t="n"/>
      <c r="J23" s="10" t="n"/>
      <c r="K23" s="10" t="n"/>
      <c r="L23" s="10" t="n"/>
      <c r="M23" s="10" t="n"/>
      <c r="N23" s="10" t="n"/>
      <c r="O23" s="10" t="n"/>
      <c r="P23" s="10" t="n"/>
      <c r="Q23" s="10" t="n"/>
      <c r="R23" s="10" t="n"/>
      <c r="S23" s="10" t="n"/>
      <c r="T23" s="10" t="n"/>
      <c r="U23" s="10" t="n"/>
      <c r="V23" s="10" t="n"/>
      <c r="W23" s="10" t="n"/>
      <c r="X23" s="10" t="n"/>
      <c r="Y23" s="10" t="n"/>
      <c r="Z23" s="10" t="n"/>
      <c r="AA23" s="10" t="n"/>
      <c r="AB23" s="10" t="n"/>
      <c r="AC23" s="10" t="n"/>
      <c r="AD23" s="10" t="n"/>
      <c r="AE23" s="10" t="n"/>
      <c r="AF23" s="10" t="n"/>
      <c r="AG23" s="10" t="n"/>
      <c r="AH23" s="10" t="n"/>
      <c r="AI23" s="10" t="n"/>
      <c r="AJ23" s="10" t="n"/>
      <c r="AK23" s="10" t="n"/>
      <c r="AL23" s="10" t="n"/>
      <c r="AM23" s="10" t="n"/>
      <c r="AN23" s="10" t="n"/>
      <c r="AO23" s="10" t="n"/>
      <c r="AP23" s="10" t="n"/>
      <c r="AQ23" s="10" t="n"/>
      <c r="AR23" s="10" t="n"/>
      <c r="AS23" s="10" t="n"/>
      <c r="AT23" s="10" t="n"/>
      <c r="AU23" s="10" t="n"/>
      <c r="AV23" s="10" t="n"/>
      <c r="AW23" s="10" t="n"/>
      <c r="AX23" s="10" t="n"/>
      <c r="AY23" s="10" t="n"/>
      <c r="AZ23" s="10" t="n"/>
      <c r="BA23" s="10" t="n"/>
      <c r="BB23" s="10" t="n"/>
      <c r="BC23" s="10" t="n"/>
      <c r="BD23" s="10" t="n"/>
      <c r="BE23" s="10" t="n"/>
      <c r="BF23" s="10" t="n"/>
      <c r="BG23" s="10" t="n"/>
      <c r="BH23" s="10" t="n"/>
      <c r="BI23" s="10" t="n"/>
      <c r="BJ23" s="10" t="n"/>
      <c r="BK23" s="10" t="n"/>
      <c r="BL23" s="10" t="n"/>
      <c r="BM23" s="10" t="n"/>
      <c r="BN23" s="10" t="n"/>
      <c r="BO23" s="10" t="n"/>
      <c r="BP23" s="10" t="n"/>
      <c r="BQ23" s="10" t="n"/>
      <c r="BR23" s="10" t="n"/>
      <c r="BS23" s="10" t="n"/>
      <c r="BT23" s="10" t="n"/>
      <c r="BU23" s="10" t="n"/>
      <c r="BV23" s="10" t="n"/>
      <c r="BW23" s="10" t="n"/>
      <c r="BX23" s="10" t="n"/>
      <c r="BY23" s="7">
        <f>IF($B23="","",'Nilai CPMK per Mahasiswa'!Z23)</f>
        <v/>
      </c>
      <c r="BZ23" s="7">
        <f>IF(BY23="","",VLOOKUP(BY23,'Bobot CPMK'!$B$17:$D$21,2,TRUE()))</f>
        <v/>
      </c>
      <c r="CA23" s="7">
        <f>IF(BY23="","",IF(BY23&gt;='Bobot CPMK'!$T$17,"Lulus","Tidak Lulus"))</f>
        <v/>
      </c>
    </row>
    <row r="24">
      <c r="A24" s="7" t="n">
        <v>20</v>
      </c>
      <c r="B24" s="10" t="n"/>
      <c r="C24" s="9" t="n"/>
      <c r="D24" s="10" t="n"/>
      <c r="E24" s="10" t="n"/>
      <c r="F24" s="10" t="n"/>
      <c r="G24" s="10" t="n"/>
      <c r="H24" s="10" t="n"/>
      <c r="I24" s="10" t="n"/>
      <c r="J24" s="10" t="n"/>
      <c r="K24" s="10" t="n"/>
      <c r="L24" s="10" t="n"/>
      <c r="M24" s="10" t="n"/>
      <c r="N24" s="10" t="n"/>
      <c r="O24" s="10" t="n"/>
      <c r="P24" s="10" t="n"/>
      <c r="Q24" s="10" t="n"/>
      <c r="R24" s="10" t="n"/>
      <c r="S24" s="10" t="n"/>
      <c r="T24" s="10" t="n"/>
      <c r="U24" s="10" t="n"/>
      <c r="V24" s="10" t="n"/>
      <c r="W24" s="10" t="n"/>
      <c r="X24" s="10" t="n"/>
      <c r="Y24" s="10" t="n"/>
      <c r="Z24" s="10" t="n"/>
      <c r="AA24" s="10" t="n"/>
      <c r="AB24" s="10" t="n"/>
      <c r="AC24" s="10" t="n"/>
      <c r="AD24" s="10" t="n"/>
      <c r="AE24" s="10" t="n"/>
      <c r="AF24" s="10" t="n"/>
      <c r="AG24" s="10" t="n"/>
      <c r="AH24" s="10" t="n"/>
      <c r="AI24" s="10" t="n"/>
      <c r="AJ24" s="10" t="n"/>
      <c r="AK24" s="10" t="n"/>
      <c r="AL24" s="10" t="n"/>
      <c r="AM24" s="10" t="n"/>
      <c r="AN24" s="10" t="n"/>
      <c r="AO24" s="10" t="n"/>
      <c r="AP24" s="10" t="n"/>
      <c r="AQ24" s="10" t="n"/>
      <c r="AR24" s="10" t="n"/>
      <c r="AS24" s="10" t="n"/>
      <c r="AT24" s="10" t="n"/>
      <c r="AU24" s="10" t="n"/>
      <c r="AV24" s="10" t="n"/>
      <c r="AW24" s="10" t="n"/>
      <c r="AX24" s="10" t="n"/>
      <c r="AY24" s="10" t="n"/>
      <c r="AZ24" s="10" t="n"/>
      <c r="BA24" s="10" t="n"/>
      <c r="BB24" s="10" t="n"/>
      <c r="BC24" s="10" t="n"/>
      <c r="BD24" s="10" t="n"/>
      <c r="BE24" s="10" t="n"/>
      <c r="BF24" s="10" t="n"/>
      <c r="BG24" s="10" t="n"/>
      <c r="BH24" s="10" t="n"/>
      <c r="BI24" s="10" t="n"/>
      <c r="BJ24" s="10" t="n"/>
      <c r="BK24" s="10" t="n"/>
      <c r="BL24" s="10" t="n"/>
      <c r="BM24" s="10" t="n"/>
      <c r="BN24" s="10" t="n"/>
      <c r="BO24" s="10" t="n"/>
      <c r="BP24" s="10" t="n"/>
      <c r="BQ24" s="10" t="n"/>
      <c r="BR24" s="10" t="n"/>
      <c r="BS24" s="10" t="n"/>
      <c r="BT24" s="10" t="n"/>
      <c r="BU24" s="10" t="n"/>
      <c r="BV24" s="10" t="n"/>
      <c r="BW24" s="10" t="n"/>
      <c r="BX24" s="10" t="n"/>
      <c r="BY24" s="7">
        <f>IF($B24="","",'Nilai CPMK per Mahasiswa'!Z24)</f>
        <v/>
      </c>
      <c r="BZ24" s="7">
        <f>IF(BY24="","",VLOOKUP(BY24,'Bobot CPMK'!$B$17:$D$21,2,TRUE()))</f>
        <v/>
      </c>
      <c r="CA24" s="7">
        <f>IF(BY24="","",IF(BY24&gt;='Bobot CPMK'!$T$17,"Lulus","Tidak Lulus"))</f>
        <v/>
      </c>
    </row>
    <row r="25">
      <c r="A25" s="7" t="n">
        <v>21</v>
      </c>
      <c r="B25" s="10" t="n"/>
      <c r="C25" s="9" t="n"/>
      <c r="D25" s="10" t="n"/>
      <c r="E25" s="10" t="n"/>
      <c r="F25" s="10" t="n"/>
      <c r="G25" s="10" t="n"/>
      <c r="H25" s="10" t="n"/>
      <c r="I25" s="10" t="n"/>
      <c r="J25" s="10" t="n"/>
      <c r="K25" s="10" t="n"/>
      <c r="L25" s="10" t="n"/>
      <c r="M25" s="10" t="n"/>
      <c r="N25" s="10" t="n"/>
      <c r="O25" s="10" t="n"/>
      <c r="P25" s="10" t="n"/>
      <c r="Q25" s="10" t="n"/>
      <c r="R25" s="10" t="n"/>
      <c r="S25" s="10" t="n"/>
      <c r="T25" s="10" t="n"/>
      <c r="U25" s="10" t="n"/>
      <c r="V25" s="10" t="n"/>
      <c r="W25" s="10" t="n"/>
      <c r="X25" s="10" t="n"/>
      <c r="Y25" s="10" t="n"/>
      <c r="Z25" s="10" t="n"/>
      <c r="AA25" s="10" t="n"/>
      <c r="AB25" s="10" t="n"/>
      <c r="AC25" s="10" t="n"/>
      <c r="AD25" s="10" t="n"/>
      <c r="AE25" s="10" t="n"/>
      <c r="AF25" s="10" t="n"/>
      <c r="AG25" s="10" t="n"/>
      <c r="AH25" s="10" t="n"/>
      <c r="AI25" s="10" t="n"/>
      <c r="AJ25" s="10" t="n"/>
      <c r="AK25" s="10" t="n"/>
      <c r="AL25" s="10" t="n"/>
      <c r="AM25" s="10" t="n"/>
      <c r="AN25" s="10" t="n"/>
      <c r="AO25" s="10" t="n"/>
      <c r="AP25" s="10" t="n"/>
      <c r="AQ25" s="10" t="n"/>
      <c r="AR25" s="10" t="n"/>
      <c r="AS25" s="10" t="n"/>
      <c r="AT25" s="10" t="n"/>
      <c r="AU25" s="10" t="n"/>
      <c r="AV25" s="10" t="n"/>
      <c r="AW25" s="10" t="n"/>
      <c r="AX25" s="10" t="n"/>
      <c r="AY25" s="10" t="n"/>
      <c r="AZ25" s="10" t="n"/>
      <c r="BA25" s="10" t="n"/>
      <c r="BB25" s="10" t="n"/>
      <c r="BC25" s="10" t="n"/>
      <c r="BD25" s="10" t="n"/>
      <c r="BE25" s="10" t="n"/>
      <c r="BF25" s="10" t="n"/>
      <c r="BG25" s="10" t="n"/>
      <c r="BH25" s="10" t="n"/>
      <c r="BI25" s="10" t="n"/>
      <c r="BJ25" s="10" t="n"/>
      <c r="BK25" s="10" t="n"/>
      <c r="BL25" s="10" t="n"/>
      <c r="BM25" s="10" t="n"/>
      <c r="BN25" s="10" t="n"/>
      <c r="BO25" s="10" t="n"/>
      <c r="BP25" s="10" t="n"/>
      <c r="BQ25" s="10" t="n"/>
      <c r="BR25" s="10" t="n"/>
      <c r="BS25" s="10" t="n"/>
      <c r="BT25" s="10" t="n"/>
      <c r="BU25" s="10" t="n"/>
      <c r="BV25" s="10" t="n"/>
      <c r="BW25" s="10" t="n"/>
      <c r="BX25" s="10" t="n"/>
      <c r="BY25" s="7">
        <f>IF($B25="","",'Nilai CPMK per Mahasiswa'!Z25)</f>
        <v/>
      </c>
      <c r="BZ25" s="7">
        <f>IF(BY25="","",VLOOKUP(BY25,'Bobot CPMK'!$B$17:$D$21,2,TRUE()))</f>
        <v/>
      </c>
      <c r="CA25" s="7">
        <f>IF(BY25="","",IF(BY25&gt;='Bobot CPMK'!$T$17,"Lulus","Tidak Lulus"))</f>
        <v/>
      </c>
    </row>
    <row r="26">
      <c r="A26" s="7" t="n">
        <v>22</v>
      </c>
      <c r="B26" s="10" t="n"/>
      <c r="C26" s="9" t="n"/>
      <c r="D26" s="10" t="n"/>
      <c r="E26" s="10" t="n"/>
      <c r="F26" s="10" t="n"/>
      <c r="G26" s="10" t="n"/>
      <c r="H26" s="10" t="n"/>
      <c r="I26" s="10" t="n"/>
      <c r="J26" s="10" t="n"/>
      <c r="K26" s="10" t="n"/>
      <c r="L26" s="10" t="n"/>
      <c r="M26" s="10" t="n"/>
      <c r="N26" s="10" t="n"/>
      <c r="O26" s="10" t="n"/>
      <c r="P26" s="10" t="n"/>
      <c r="Q26" s="10" t="n"/>
      <c r="R26" s="10" t="n"/>
      <c r="S26" s="10" t="n"/>
      <c r="T26" s="10" t="n"/>
      <c r="U26" s="10" t="n"/>
      <c r="V26" s="10" t="n"/>
      <c r="W26" s="10" t="n"/>
      <c r="X26" s="10" t="n"/>
      <c r="Y26" s="10" t="n"/>
      <c r="Z26" s="10" t="n"/>
      <c r="AA26" s="10" t="n"/>
      <c r="AB26" s="10" t="n"/>
      <c r="AC26" s="10" t="n"/>
      <c r="AD26" s="10" t="n"/>
      <c r="AE26" s="10" t="n"/>
      <c r="AF26" s="10" t="n"/>
      <c r="AG26" s="10" t="n"/>
      <c r="AH26" s="10" t="n"/>
      <c r="AI26" s="10" t="n"/>
      <c r="AJ26" s="10" t="n"/>
      <c r="AK26" s="10" t="n"/>
      <c r="AL26" s="10" t="n"/>
      <c r="AM26" s="10" t="n"/>
      <c r="AN26" s="10" t="n"/>
      <c r="AO26" s="10" t="n"/>
      <c r="AP26" s="10" t="n"/>
      <c r="AQ26" s="10" t="n"/>
      <c r="AR26" s="10" t="n"/>
      <c r="AS26" s="10" t="n"/>
      <c r="AT26" s="10" t="n"/>
      <c r="AU26" s="10" t="n"/>
      <c r="AV26" s="10" t="n"/>
      <c r="AW26" s="10" t="n"/>
      <c r="AX26" s="10" t="n"/>
      <c r="AY26" s="10" t="n"/>
      <c r="AZ26" s="10" t="n"/>
      <c r="BA26" s="10" t="n"/>
      <c r="BB26" s="10" t="n"/>
      <c r="BC26" s="10" t="n"/>
      <c r="BD26" s="10" t="n"/>
      <c r="BE26" s="10" t="n"/>
      <c r="BF26" s="10" t="n"/>
      <c r="BG26" s="10" t="n"/>
      <c r="BH26" s="10" t="n"/>
      <c r="BI26" s="10" t="n"/>
      <c r="BJ26" s="10" t="n"/>
      <c r="BK26" s="10" t="n"/>
      <c r="BL26" s="10" t="n"/>
      <c r="BM26" s="10" t="n"/>
      <c r="BN26" s="10" t="n"/>
      <c r="BO26" s="10" t="n"/>
      <c r="BP26" s="10" t="n"/>
      <c r="BQ26" s="10" t="n"/>
      <c r="BR26" s="10" t="n"/>
      <c r="BS26" s="10" t="n"/>
      <c r="BT26" s="10" t="n"/>
      <c r="BU26" s="10" t="n"/>
      <c r="BV26" s="10" t="n"/>
      <c r="BW26" s="10" t="n"/>
      <c r="BX26" s="10" t="n"/>
      <c r="BY26" s="7">
        <f>IF($B26="","",'Nilai CPMK per Mahasiswa'!Z26)</f>
        <v/>
      </c>
      <c r="BZ26" s="7">
        <f>IF(BY26="","",VLOOKUP(BY26,'Bobot CPMK'!$B$17:$D$21,2,TRUE()))</f>
        <v/>
      </c>
      <c r="CA26" s="7">
        <f>IF(BY26="","",IF(BY26&gt;='Bobot CPMK'!$T$17,"Lulus","Tidak Lulus"))</f>
        <v/>
      </c>
    </row>
    <row r="27">
      <c r="A27" s="7" t="n">
        <v>23</v>
      </c>
      <c r="B27" s="10" t="n"/>
      <c r="C27" s="9" t="n"/>
      <c r="D27" s="10" t="n"/>
      <c r="E27" s="10" t="n"/>
      <c r="F27" s="10" t="n"/>
      <c r="G27" s="10" t="n"/>
      <c r="H27" s="10" t="n"/>
      <c r="I27" s="10" t="n"/>
      <c r="J27" s="10" t="n"/>
      <c r="K27" s="10" t="n"/>
      <c r="L27" s="10" t="n"/>
      <c r="M27" s="10" t="n"/>
      <c r="N27" s="10" t="n"/>
      <c r="O27" s="10" t="n"/>
      <c r="P27" s="10" t="n"/>
      <c r="Q27" s="10" t="n"/>
      <c r="R27" s="10" t="n"/>
      <c r="S27" s="10" t="n"/>
      <c r="T27" s="10" t="n"/>
      <c r="U27" s="10" t="n"/>
      <c r="V27" s="10" t="n"/>
      <c r="W27" s="10" t="n"/>
      <c r="X27" s="10" t="n"/>
      <c r="Y27" s="10" t="n"/>
      <c r="Z27" s="10" t="n"/>
      <c r="AA27" s="10" t="n"/>
      <c r="AB27" s="10" t="n"/>
      <c r="AC27" s="10" t="n"/>
      <c r="AD27" s="10" t="n"/>
      <c r="AE27" s="10" t="n"/>
      <c r="AF27" s="10" t="n"/>
      <c r="AG27" s="10" t="n"/>
      <c r="AH27" s="10" t="n"/>
      <c r="AI27" s="10" t="n"/>
      <c r="AJ27" s="10" t="n"/>
      <c r="AK27" s="10" t="n"/>
      <c r="AL27" s="10" t="n"/>
      <c r="AM27" s="10" t="n"/>
      <c r="AN27" s="10" t="n"/>
      <c r="AO27" s="10" t="n"/>
      <c r="AP27" s="10" t="n"/>
      <c r="AQ27" s="10" t="n"/>
      <c r="AR27" s="10" t="n"/>
      <c r="AS27" s="10" t="n"/>
      <c r="AT27" s="10" t="n"/>
      <c r="AU27" s="10" t="n"/>
      <c r="AV27" s="10" t="n"/>
      <c r="AW27" s="10" t="n"/>
      <c r="AX27" s="10" t="n"/>
      <c r="AY27" s="10" t="n"/>
      <c r="AZ27" s="10" t="n"/>
      <c r="BA27" s="10" t="n"/>
      <c r="BB27" s="10" t="n"/>
      <c r="BC27" s="10" t="n"/>
      <c r="BD27" s="10" t="n"/>
      <c r="BE27" s="10" t="n"/>
      <c r="BF27" s="10" t="n"/>
      <c r="BG27" s="10" t="n"/>
      <c r="BH27" s="10" t="n"/>
      <c r="BI27" s="10" t="n"/>
      <c r="BJ27" s="10" t="n"/>
      <c r="BK27" s="10" t="n"/>
      <c r="BL27" s="10" t="n"/>
      <c r="BM27" s="10" t="n"/>
      <c r="BN27" s="10" t="n"/>
      <c r="BO27" s="10" t="n"/>
      <c r="BP27" s="10" t="n"/>
      <c r="BQ27" s="10" t="n"/>
      <c r="BR27" s="10" t="n"/>
      <c r="BS27" s="10" t="n"/>
      <c r="BT27" s="10" t="n"/>
      <c r="BU27" s="10" t="n"/>
      <c r="BV27" s="10" t="n"/>
      <c r="BW27" s="10" t="n"/>
      <c r="BX27" s="10" t="n"/>
      <c r="BY27" s="7">
        <f>IF($B27="","",'Nilai CPMK per Mahasiswa'!Z27)</f>
        <v/>
      </c>
      <c r="BZ27" s="7">
        <f>IF(BY27="","",VLOOKUP(BY27,'Bobot CPMK'!$B$17:$D$21,2,TRUE()))</f>
        <v/>
      </c>
      <c r="CA27" s="7">
        <f>IF(BY27="","",IF(BY27&gt;='Bobot CPMK'!$T$17,"Lulus","Tidak Lulus"))</f>
        <v/>
      </c>
    </row>
    <row r="28">
      <c r="A28" s="7" t="n">
        <v>24</v>
      </c>
      <c r="B28" s="10" t="n"/>
      <c r="C28" s="9" t="n"/>
      <c r="D28" s="10" t="n"/>
      <c r="E28" s="10" t="n"/>
      <c r="F28" s="10" t="n"/>
      <c r="G28" s="10" t="n"/>
      <c r="H28" s="10" t="n"/>
      <c r="I28" s="10" t="n"/>
      <c r="J28" s="10" t="n"/>
      <c r="K28" s="10" t="n"/>
      <c r="L28" s="10" t="n"/>
      <c r="M28" s="10" t="n"/>
      <c r="N28" s="10" t="n"/>
      <c r="O28" s="10" t="n"/>
      <c r="P28" s="10" t="n"/>
      <c r="Q28" s="10" t="n"/>
      <c r="R28" s="10" t="n"/>
      <c r="S28" s="10" t="n"/>
      <c r="T28" s="10" t="n"/>
      <c r="U28" s="10" t="n"/>
      <c r="V28" s="10" t="n"/>
      <c r="W28" s="10" t="n"/>
      <c r="X28" s="10" t="n"/>
      <c r="Y28" s="10" t="n"/>
      <c r="Z28" s="10" t="n"/>
      <c r="AA28" s="10" t="n"/>
      <c r="AB28" s="10" t="n"/>
      <c r="AC28" s="10" t="n"/>
      <c r="AD28" s="10" t="n"/>
      <c r="AE28" s="10" t="n"/>
      <c r="AF28" s="10" t="n"/>
      <c r="AG28" s="10" t="n"/>
      <c r="AH28" s="10" t="n"/>
      <c r="AI28" s="10" t="n"/>
      <c r="AJ28" s="10" t="n"/>
      <c r="AK28" s="10" t="n"/>
      <c r="AL28" s="10" t="n"/>
      <c r="AM28" s="10" t="n"/>
      <c r="AN28" s="10" t="n"/>
      <c r="AO28" s="10" t="n"/>
      <c r="AP28" s="10" t="n"/>
      <c r="AQ28" s="10" t="n"/>
      <c r="AR28" s="10" t="n"/>
      <c r="AS28" s="10" t="n"/>
      <c r="AT28" s="10" t="n"/>
      <c r="AU28" s="10" t="n"/>
      <c r="AV28" s="10" t="n"/>
      <c r="AW28" s="10" t="n"/>
      <c r="AX28" s="10" t="n"/>
      <c r="AY28" s="10" t="n"/>
      <c r="AZ28" s="10" t="n"/>
      <c r="BA28" s="10" t="n"/>
      <c r="BB28" s="10" t="n"/>
      <c r="BC28" s="10" t="n"/>
      <c r="BD28" s="10" t="n"/>
      <c r="BE28" s="10" t="n"/>
      <c r="BF28" s="10" t="n"/>
      <c r="BG28" s="10" t="n"/>
      <c r="BH28" s="10" t="n"/>
      <c r="BI28" s="10" t="n"/>
      <c r="BJ28" s="10" t="n"/>
      <c r="BK28" s="10" t="n"/>
      <c r="BL28" s="10" t="n"/>
      <c r="BM28" s="10" t="n"/>
      <c r="BN28" s="10" t="n"/>
      <c r="BO28" s="10" t="n"/>
      <c r="BP28" s="10" t="n"/>
      <c r="BQ28" s="10" t="n"/>
      <c r="BR28" s="10" t="n"/>
      <c r="BS28" s="10" t="n"/>
      <c r="BT28" s="10" t="n"/>
      <c r="BU28" s="10" t="n"/>
      <c r="BV28" s="10" t="n"/>
      <c r="BW28" s="10" t="n"/>
      <c r="BX28" s="10" t="n"/>
      <c r="BY28" s="7">
        <f>IF($B28="","",'Nilai CPMK per Mahasiswa'!Z28)</f>
        <v/>
      </c>
      <c r="BZ28" s="7">
        <f>IF(BY28="","",VLOOKUP(BY28,'Bobot CPMK'!$B$17:$D$21,2,TRUE()))</f>
        <v/>
      </c>
      <c r="CA28" s="7">
        <f>IF(BY28="","",IF(BY28&gt;='Bobot CPMK'!$T$17,"Lulus","Tidak Lulus"))</f>
        <v/>
      </c>
    </row>
    <row r="29">
      <c r="A29" s="7" t="n">
        <v>25</v>
      </c>
      <c r="B29" s="10" t="n"/>
      <c r="C29" s="9" t="n"/>
      <c r="D29" s="10" t="n"/>
      <c r="E29" s="10" t="n"/>
      <c r="F29" s="10" t="n"/>
      <c r="G29" s="10" t="n"/>
      <c r="H29" s="10" t="n"/>
      <c r="I29" s="10" t="n"/>
      <c r="J29" s="10" t="n"/>
      <c r="K29" s="10" t="n"/>
      <c r="L29" s="10" t="n"/>
      <c r="M29" s="10" t="n"/>
      <c r="N29" s="10" t="n"/>
      <c r="O29" s="10" t="n"/>
      <c r="P29" s="10" t="n"/>
      <c r="Q29" s="10" t="n"/>
      <c r="R29" s="10" t="n"/>
      <c r="S29" s="10" t="n"/>
      <c r="T29" s="10" t="n"/>
      <c r="U29" s="10" t="n"/>
      <c r="V29" s="10" t="n"/>
      <c r="W29" s="10" t="n"/>
      <c r="X29" s="10" t="n"/>
      <c r="Y29" s="10" t="n"/>
      <c r="Z29" s="10" t="n"/>
      <c r="AA29" s="10" t="n"/>
      <c r="AB29" s="10" t="n"/>
      <c r="AC29" s="10" t="n"/>
      <c r="AD29" s="10" t="n"/>
      <c r="AE29" s="10" t="n"/>
      <c r="AF29" s="10" t="n"/>
      <c r="AG29" s="10" t="n"/>
      <c r="AH29" s="10" t="n"/>
      <c r="AI29" s="10" t="n"/>
      <c r="AJ29" s="10" t="n"/>
      <c r="AK29" s="10" t="n"/>
      <c r="AL29" s="10" t="n"/>
      <c r="AM29" s="10" t="n"/>
      <c r="AN29" s="10" t="n"/>
      <c r="AO29" s="10" t="n"/>
      <c r="AP29" s="10" t="n"/>
      <c r="AQ29" s="10" t="n"/>
      <c r="AR29" s="10" t="n"/>
      <c r="AS29" s="10" t="n"/>
      <c r="AT29" s="10" t="n"/>
      <c r="AU29" s="10" t="n"/>
      <c r="AV29" s="10" t="n"/>
      <c r="AW29" s="10" t="n"/>
      <c r="AX29" s="10" t="n"/>
      <c r="AY29" s="10" t="n"/>
      <c r="AZ29" s="10" t="n"/>
      <c r="BA29" s="10" t="n"/>
      <c r="BB29" s="10" t="n"/>
      <c r="BC29" s="10" t="n"/>
      <c r="BD29" s="10" t="n"/>
      <c r="BE29" s="10" t="n"/>
      <c r="BF29" s="10" t="n"/>
      <c r="BG29" s="10" t="n"/>
      <c r="BH29" s="10" t="n"/>
      <c r="BI29" s="10" t="n"/>
      <c r="BJ29" s="10" t="n"/>
      <c r="BK29" s="10" t="n"/>
      <c r="BL29" s="10" t="n"/>
      <c r="BM29" s="10" t="n"/>
      <c r="BN29" s="10" t="n"/>
      <c r="BO29" s="10" t="n"/>
      <c r="BP29" s="10" t="n"/>
      <c r="BQ29" s="10" t="n"/>
      <c r="BR29" s="10" t="n"/>
      <c r="BS29" s="10" t="n"/>
      <c r="BT29" s="10" t="n"/>
      <c r="BU29" s="10" t="n"/>
      <c r="BV29" s="10" t="n"/>
      <c r="BW29" s="10" t="n"/>
      <c r="BX29" s="10" t="n"/>
      <c r="BY29" s="7">
        <f>IF($B29="","",'Nilai CPMK per Mahasiswa'!Z29)</f>
        <v/>
      </c>
      <c r="BZ29" s="7">
        <f>IF(BY29="","",VLOOKUP(BY29,'Bobot CPMK'!$B$17:$D$21,2,TRUE()))</f>
        <v/>
      </c>
      <c r="CA29" s="7">
        <f>IF(BY29="","",IF(BY29&gt;='Bobot CPMK'!$T$17,"Lulus","Tidak Lulus"))</f>
        <v/>
      </c>
    </row>
    <row r="30">
      <c r="A30" s="7" t="n">
        <v>26</v>
      </c>
      <c r="B30" s="10" t="n"/>
      <c r="C30" s="9" t="n"/>
      <c r="D30" s="10" t="n"/>
      <c r="E30" s="10" t="n"/>
      <c r="F30" s="10" t="n"/>
      <c r="G30" s="10" t="n"/>
      <c r="H30" s="10" t="n"/>
      <c r="I30" s="10" t="n"/>
      <c r="J30" s="10" t="n"/>
      <c r="K30" s="10" t="n"/>
      <c r="L30" s="10" t="n"/>
      <c r="M30" s="10" t="n"/>
      <c r="N30" s="10" t="n"/>
      <c r="O30" s="10" t="n"/>
      <c r="P30" s="10" t="n"/>
      <c r="Q30" s="10" t="n"/>
      <c r="R30" s="10" t="n"/>
      <c r="S30" s="10" t="n"/>
      <c r="T30" s="10" t="n"/>
      <c r="U30" s="10" t="n"/>
      <c r="V30" s="10" t="n"/>
      <c r="W30" s="10" t="n"/>
      <c r="X30" s="10" t="n"/>
      <c r="Y30" s="10" t="n"/>
      <c r="Z30" s="10" t="n"/>
      <c r="AA30" s="10" t="n"/>
      <c r="AB30" s="10" t="n"/>
      <c r="AC30" s="10" t="n"/>
      <c r="AD30" s="10" t="n"/>
      <c r="AE30" s="10" t="n"/>
      <c r="AF30" s="10" t="n"/>
      <c r="AG30" s="10" t="n"/>
      <c r="AH30" s="10" t="n"/>
      <c r="AI30" s="10" t="n"/>
      <c r="AJ30" s="10" t="n"/>
      <c r="AK30" s="10" t="n"/>
      <c r="AL30" s="10" t="n"/>
      <c r="AM30" s="10" t="n"/>
      <c r="AN30" s="10" t="n"/>
      <c r="AO30" s="10" t="n"/>
      <c r="AP30" s="10" t="n"/>
      <c r="AQ30" s="10" t="n"/>
      <c r="AR30" s="10" t="n"/>
      <c r="AS30" s="10" t="n"/>
      <c r="AT30" s="10" t="n"/>
      <c r="AU30" s="10" t="n"/>
      <c r="AV30" s="10" t="n"/>
      <c r="AW30" s="10" t="n"/>
      <c r="AX30" s="10" t="n"/>
      <c r="AY30" s="10" t="n"/>
      <c r="AZ30" s="10" t="n"/>
      <c r="BA30" s="10" t="n"/>
      <c r="BB30" s="10" t="n"/>
      <c r="BC30" s="10" t="n"/>
      <c r="BD30" s="10" t="n"/>
      <c r="BE30" s="10" t="n"/>
      <c r="BF30" s="10" t="n"/>
      <c r="BG30" s="10" t="n"/>
      <c r="BH30" s="10" t="n"/>
      <c r="BI30" s="10" t="n"/>
      <c r="BJ30" s="10" t="n"/>
      <c r="BK30" s="10" t="n"/>
      <c r="BL30" s="10" t="n"/>
      <c r="BM30" s="10" t="n"/>
      <c r="BN30" s="10" t="n"/>
      <c r="BO30" s="10" t="n"/>
      <c r="BP30" s="10" t="n"/>
      <c r="BQ30" s="10" t="n"/>
      <c r="BR30" s="10" t="n"/>
      <c r="BS30" s="10" t="n"/>
      <c r="BT30" s="10" t="n"/>
      <c r="BU30" s="10" t="n"/>
      <c r="BV30" s="10" t="n"/>
      <c r="BW30" s="10" t="n"/>
      <c r="BX30" s="10" t="n"/>
      <c r="BY30" s="7">
        <f>IF($B30="","",'Nilai CPMK per Mahasiswa'!Z30)</f>
        <v/>
      </c>
      <c r="BZ30" s="7">
        <f>IF(BY30="","",VLOOKUP(BY30,'Bobot CPMK'!$B$17:$D$21,2,TRUE()))</f>
        <v/>
      </c>
      <c r="CA30" s="7">
        <f>IF(BY30="","",IF(BY30&gt;='Bobot CPMK'!$T$17,"Lulus","Tidak Lulus"))</f>
        <v/>
      </c>
    </row>
    <row r="31">
      <c r="A31" s="7" t="n">
        <v>27</v>
      </c>
      <c r="B31" s="10" t="n"/>
      <c r="C31" s="9" t="n"/>
      <c r="D31" s="10" t="n"/>
      <c r="E31" s="10" t="n"/>
      <c r="F31" s="10" t="n"/>
      <c r="G31" s="10" t="n"/>
      <c r="H31" s="10" t="n"/>
      <c r="I31" s="10" t="n"/>
      <c r="J31" s="10" t="n"/>
      <c r="K31" s="10" t="n"/>
      <c r="L31" s="10" t="n"/>
      <c r="M31" s="10" t="n"/>
      <c r="N31" s="10" t="n"/>
      <c r="O31" s="10" t="n"/>
      <c r="P31" s="10" t="n"/>
      <c r="Q31" s="10" t="n"/>
      <c r="R31" s="10" t="n"/>
      <c r="S31" s="10" t="n"/>
      <c r="T31" s="10" t="n"/>
      <c r="U31" s="10" t="n"/>
      <c r="V31" s="10" t="n"/>
      <c r="W31" s="10" t="n"/>
      <c r="X31" s="10" t="n"/>
      <c r="Y31" s="10" t="n"/>
      <c r="Z31" s="10" t="n"/>
      <c r="AA31" s="10" t="n"/>
      <c r="AB31" s="10" t="n"/>
      <c r="AC31" s="10" t="n"/>
      <c r="AD31" s="10" t="n"/>
      <c r="AE31" s="10" t="n"/>
      <c r="AF31" s="10" t="n"/>
      <c r="AG31" s="10" t="n"/>
      <c r="AH31" s="10" t="n"/>
      <c r="AI31" s="10" t="n"/>
      <c r="AJ31" s="10" t="n"/>
      <c r="AK31" s="10" t="n"/>
      <c r="AL31" s="10" t="n"/>
      <c r="AM31" s="10" t="n"/>
      <c r="AN31" s="10" t="n"/>
      <c r="AO31" s="10" t="n"/>
      <c r="AP31" s="10" t="n"/>
      <c r="AQ31" s="10" t="n"/>
      <c r="AR31" s="10" t="n"/>
      <c r="AS31" s="10" t="n"/>
      <c r="AT31" s="10" t="n"/>
      <c r="AU31" s="10" t="n"/>
      <c r="AV31" s="10" t="n"/>
      <c r="AW31" s="10" t="n"/>
      <c r="AX31" s="10" t="n"/>
      <c r="AY31" s="10" t="n"/>
      <c r="AZ31" s="10" t="n"/>
      <c r="BA31" s="10" t="n"/>
      <c r="BB31" s="10" t="n"/>
      <c r="BC31" s="10" t="n"/>
      <c r="BD31" s="10" t="n"/>
      <c r="BE31" s="10" t="n"/>
      <c r="BF31" s="10" t="n"/>
      <c r="BG31" s="10" t="n"/>
      <c r="BH31" s="10" t="n"/>
      <c r="BI31" s="10" t="n"/>
      <c r="BJ31" s="10" t="n"/>
      <c r="BK31" s="10" t="n"/>
      <c r="BL31" s="10" t="n"/>
      <c r="BM31" s="10" t="n"/>
      <c r="BN31" s="10" t="n"/>
      <c r="BO31" s="10" t="n"/>
      <c r="BP31" s="10" t="n"/>
      <c r="BQ31" s="10" t="n"/>
      <c r="BR31" s="10" t="n"/>
      <c r="BS31" s="10" t="n"/>
      <c r="BT31" s="10" t="n"/>
      <c r="BU31" s="10" t="n"/>
      <c r="BV31" s="10" t="n"/>
      <c r="BW31" s="10" t="n"/>
      <c r="BX31" s="10" t="n"/>
      <c r="BY31" s="7">
        <f>IF($B31="","",'Nilai CPMK per Mahasiswa'!Z31)</f>
        <v/>
      </c>
      <c r="BZ31" s="7">
        <f>IF(BY31="","",VLOOKUP(BY31,'Bobot CPMK'!$B$17:$D$21,2,TRUE()))</f>
        <v/>
      </c>
      <c r="CA31" s="7">
        <f>IF(BY31="","",IF(BY31&gt;='Bobot CPMK'!$T$17,"Lulus","Tidak Lulus"))</f>
        <v/>
      </c>
    </row>
    <row r="32">
      <c r="A32" s="7" t="n">
        <v>28</v>
      </c>
      <c r="B32" s="10" t="n"/>
      <c r="C32" s="9" t="n"/>
      <c r="D32" s="10" t="n"/>
      <c r="E32" s="10" t="n"/>
      <c r="F32" s="10" t="n"/>
      <c r="G32" s="10" t="n"/>
      <c r="H32" s="10" t="n"/>
      <c r="I32" s="10" t="n"/>
      <c r="J32" s="10" t="n"/>
      <c r="K32" s="10" t="n"/>
      <c r="L32" s="10" t="n"/>
      <c r="M32" s="10" t="n"/>
      <c r="N32" s="10" t="n"/>
      <c r="O32" s="10" t="n"/>
      <c r="P32" s="10" t="n"/>
      <c r="Q32" s="10" t="n"/>
      <c r="R32" s="10" t="n"/>
      <c r="S32" s="10" t="n"/>
      <c r="T32" s="10" t="n"/>
      <c r="U32" s="10" t="n"/>
      <c r="V32" s="10" t="n"/>
      <c r="W32" s="10" t="n"/>
      <c r="X32" s="10" t="n"/>
      <c r="Y32" s="10" t="n"/>
      <c r="Z32" s="10" t="n"/>
      <c r="AA32" s="10" t="n"/>
      <c r="AB32" s="10" t="n"/>
      <c r="AC32" s="10" t="n"/>
      <c r="AD32" s="10" t="n"/>
      <c r="AE32" s="10" t="n"/>
      <c r="AF32" s="10" t="n"/>
      <c r="AG32" s="10" t="n"/>
      <c r="AH32" s="10" t="n"/>
      <c r="AI32" s="10" t="n"/>
      <c r="AJ32" s="10" t="n"/>
      <c r="AK32" s="10" t="n"/>
      <c r="AL32" s="10" t="n"/>
      <c r="AM32" s="10" t="n"/>
      <c r="AN32" s="10" t="n"/>
      <c r="AO32" s="10" t="n"/>
      <c r="AP32" s="10" t="n"/>
      <c r="AQ32" s="10" t="n"/>
      <c r="AR32" s="10" t="n"/>
      <c r="AS32" s="10" t="n"/>
      <c r="AT32" s="10" t="n"/>
      <c r="AU32" s="10" t="n"/>
      <c r="AV32" s="10" t="n"/>
      <c r="AW32" s="10" t="n"/>
      <c r="AX32" s="10" t="n"/>
      <c r="AY32" s="10" t="n"/>
      <c r="AZ32" s="10" t="n"/>
      <c r="BA32" s="10" t="n"/>
      <c r="BB32" s="10" t="n"/>
      <c r="BC32" s="10" t="n"/>
      <c r="BD32" s="10" t="n"/>
      <c r="BE32" s="10" t="n"/>
      <c r="BF32" s="10" t="n"/>
      <c r="BG32" s="10" t="n"/>
      <c r="BH32" s="10" t="n"/>
      <c r="BI32" s="10" t="n"/>
      <c r="BJ32" s="10" t="n"/>
      <c r="BK32" s="10" t="n"/>
      <c r="BL32" s="10" t="n"/>
      <c r="BM32" s="10" t="n"/>
      <c r="BN32" s="10" t="n"/>
      <c r="BO32" s="10" t="n"/>
      <c r="BP32" s="10" t="n"/>
      <c r="BQ32" s="10" t="n"/>
      <c r="BR32" s="10" t="n"/>
      <c r="BS32" s="10" t="n"/>
      <c r="BT32" s="10" t="n"/>
      <c r="BU32" s="10" t="n"/>
      <c r="BV32" s="10" t="n"/>
      <c r="BW32" s="10" t="n"/>
      <c r="BX32" s="10" t="n"/>
      <c r="BY32" s="7">
        <f>IF($B32="","",'Nilai CPMK per Mahasiswa'!Z32)</f>
        <v/>
      </c>
      <c r="BZ32" s="7">
        <f>IF(BY32="","",VLOOKUP(BY32,'Bobot CPMK'!$B$17:$D$21,2,TRUE()))</f>
        <v/>
      </c>
      <c r="CA32" s="7">
        <f>IF(BY32="","",IF(BY32&gt;='Bobot CPMK'!$T$17,"Lulus","Tidak Lulus"))</f>
        <v/>
      </c>
    </row>
    <row r="33">
      <c r="A33" s="7" t="n">
        <v>29</v>
      </c>
      <c r="B33" s="10" t="n"/>
      <c r="C33" s="9" t="n"/>
      <c r="D33" s="10" t="n"/>
      <c r="E33" s="10" t="n"/>
      <c r="F33" s="10" t="n"/>
      <c r="G33" s="10" t="n"/>
      <c r="H33" s="10" t="n"/>
      <c r="I33" s="10" t="n"/>
      <c r="J33" s="10" t="n"/>
      <c r="K33" s="10" t="n"/>
      <c r="L33" s="10" t="n"/>
      <c r="M33" s="10" t="n"/>
      <c r="N33" s="10" t="n"/>
      <c r="O33" s="10" t="n"/>
      <c r="P33" s="10" t="n"/>
      <c r="Q33" s="10" t="n"/>
      <c r="R33" s="10" t="n"/>
      <c r="S33" s="10" t="n"/>
      <c r="T33" s="10" t="n"/>
      <c r="U33" s="10" t="n"/>
      <c r="V33" s="10" t="n"/>
      <c r="W33" s="10" t="n"/>
      <c r="X33" s="10" t="n"/>
      <c r="Y33" s="10" t="n"/>
      <c r="Z33" s="10" t="n"/>
      <c r="AA33" s="10" t="n"/>
      <c r="AB33" s="10" t="n"/>
      <c r="AC33" s="10" t="n"/>
      <c r="AD33" s="10" t="n"/>
      <c r="AE33" s="10" t="n"/>
      <c r="AF33" s="10" t="n"/>
      <c r="AG33" s="10" t="n"/>
      <c r="AH33" s="10" t="n"/>
      <c r="AI33" s="10" t="n"/>
      <c r="AJ33" s="10" t="n"/>
      <c r="AK33" s="10" t="n"/>
      <c r="AL33" s="10" t="n"/>
      <c r="AM33" s="10" t="n"/>
      <c r="AN33" s="10" t="n"/>
      <c r="AO33" s="10" t="n"/>
      <c r="AP33" s="10" t="n"/>
      <c r="AQ33" s="10" t="n"/>
      <c r="AR33" s="10" t="n"/>
      <c r="AS33" s="10" t="n"/>
      <c r="AT33" s="10" t="n"/>
      <c r="AU33" s="10" t="n"/>
      <c r="AV33" s="10" t="n"/>
      <c r="AW33" s="10" t="n"/>
      <c r="AX33" s="10" t="n"/>
      <c r="AY33" s="10" t="n"/>
      <c r="AZ33" s="10" t="n"/>
      <c r="BA33" s="10" t="n"/>
      <c r="BB33" s="10" t="n"/>
      <c r="BC33" s="10" t="n"/>
      <c r="BD33" s="10" t="n"/>
      <c r="BE33" s="10" t="n"/>
      <c r="BF33" s="10" t="n"/>
      <c r="BG33" s="10" t="n"/>
      <c r="BH33" s="10" t="n"/>
      <c r="BI33" s="10" t="n"/>
      <c r="BJ33" s="10" t="n"/>
      <c r="BK33" s="10" t="n"/>
      <c r="BL33" s="10" t="n"/>
      <c r="BM33" s="10" t="n"/>
      <c r="BN33" s="10" t="n"/>
      <c r="BO33" s="10" t="n"/>
      <c r="BP33" s="10" t="n"/>
      <c r="BQ33" s="10" t="n"/>
      <c r="BR33" s="10" t="n"/>
      <c r="BS33" s="10" t="n"/>
      <c r="BT33" s="10" t="n"/>
      <c r="BU33" s="10" t="n"/>
      <c r="BV33" s="10" t="n"/>
      <c r="BW33" s="10" t="n"/>
      <c r="BX33" s="10" t="n"/>
      <c r="BY33" s="7">
        <f>IF($B33="","",'Nilai CPMK per Mahasiswa'!Z33)</f>
        <v/>
      </c>
      <c r="BZ33" s="7">
        <f>IF(BY33="","",VLOOKUP(BY33,'Bobot CPMK'!$B$17:$D$21,2,TRUE()))</f>
        <v/>
      </c>
      <c r="CA33" s="7">
        <f>IF(BY33="","",IF(BY33&gt;='Bobot CPMK'!$T$17,"Lulus","Tidak Lulus"))</f>
        <v/>
      </c>
    </row>
    <row r="34">
      <c r="A34" s="7" t="n">
        <v>30</v>
      </c>
      <c r="B34" s="10" t="n"/>
      <c r="C34" s="9" t="n"/>
      <c r="D34" s="10" t="n"/>
      <c r="E34" s="10" t="n"/>
      <c r="F34" s="10" t="n"/>
      <c r="G34" s="10" t="n"/>
      <c r="H34" s="10" t="n"/>
      <c r="I34" s="10" t="n"/>
      <c r="J34" s="10" t="n"/>
      <c r="K34" s="10" t="n"/>
      <c r="L34" s="10" t="n"/>
      <c r="M34" s="10" t="n"/>
      <c r="N34" s="10" t="n"/>
      <c r="O34" s="10" t="n"/>
      <c r="P34" s="10" t="n"/>
      <c r="Q34" s="10" t="n"/>
      <c r="R34" s="10" t="n"/>
      <c r="S34" s="10" t="n"/>
      <c r="T34" s="10" t="n"/>
      <c r="U34" s="10" t="n"/>
      <c r="V34" s="10" t="n"/>
      <c r="W34" s="10" t="n"/>
      <c r="X34" s="10" t="n"/>
      <c r="Y34" s="10" t="n"/>
      <c r="Z34" s="10" t="n"/>
      <c r="AA34" s="10" t="n"/>
      <c r="AB34" s="10" t="n"/>
      <c r="AC34" s="10" t="n"/>
      <c r="AD34" s="10" t="n"/>
      <c r="AE34" s="10" t="n"/>
      <c r="AF34" s="10" t="n"/>
      <c r="AG34" s="10" t="n"/>
      <c r="AH34" s="10" t="n"/>
      <c r="AI34" s="10" t="n"/>
      <c r="AJ34" s="10" t="n"/>
      <c r="AK34" s="10" t="n"/>
      <c r="AL34" s="10" t="n"/>
      <c r="AM34" s="10" t="n"/>
      <c r="AN34" s="10" t="n"/>
      <c r="AO34" s="10" t="n"/>
      <c r="AP34" s="10" t="n"/>
      <c r="AQ34" s="10" t="n"/>
      <c r="AR34" s="10" t="n"/>
      <c r="AS34" s="10" t="n"/>
      <c r="AT34" s="10" t="n"/>
      <c r="AU34" s="10" t="n"/>
      <c r="AV34" s="10" t="n"/>
      <c r="AW34" s="10" t="n"/>
      <c r="AX34" s="10" t="n"/>
      <c r="AY34" s="10" t="n"/>
      <c r="AZ34" s="10" t="n"/>
      <c r="BA34" s="10" t="n"/>
      <c r="BB34" s="10" t="n"/>
      <c r="BC34" s="10" t="n"/>
      <c r="BD34" s="10" t="n"/>
      <c r="BE34" s="10" t="n"/>
      <c r="BF34" s="10" t="n"/>
      <c r="BG34" s="10" t="n"/>
      <c r="BH34" s="10" t="n"/>
      <c r="BI34" s="10" t="n"/>
      <c r="BJ34" s="10" t="n"/>
      <c r="BK34" s="10" t="n"/>
      <c r="BL34" s="10" t="n"/>
      <c r="BM34" s="10" t="n"/>
      <c r="BN34" s="10" t="n"/>
      <c r="BO34" s="10" t="n"/>
      <c r="BP34" s="10" t="n"/>
      <c r="BQ34" s="10" t="n"/>
      <c r="BR34" s="10" t="n"/>
      <c r="BS34" s="10" t="n"/>
      <c r="BT34" s="10" t="n"/>
      <c r="BU34" s="10" t="n"/>
      <c r="BV34" s="10" t="n"/>
      <c r="BW34" s="10" t="n"/>
      <c r="BX34" s="10" t="n"/>
      <c r="BY34" s="7">
        <f>IF($B34="","",'Nilai CPMK per Mahasiswa'!Z34)</f>
        <v/>
      </c>
      <c r="BZ34" s="7">
        <f>IF(BY34="","",VLOOKUP(BY34,'Bobot CPMK'!$B$17:$D$21,2,TRUE()))</f>
        <v/>
      </c>
      <c r="CA34" s="7">
        <f>IF(BY34="","",IF(BY34&gt;='Bobot CPMK'!$T$17,"Lulus","Tidak Lulus"))</f>
        <v/>
      </c>
    </row>
  </sheetData>
  <mergeCells count="15">
    <mergeCell ref="AN3:AV3"/>
    <mergeCell ref="AW3:BE3"/>
    <mergeCell ref="BO3:BW3"/>
    <mergeCell ref="C3:C4"/>
    <mergeCell ref="B3:B4"/>
    <mergeCell ref="A3:A4"/>
    <mergeCell ref="CA3:CA4"/>
    <mergeCell ref="M3:U3"/>
    <mergeCell ref="D3:L3"/>
    <mergeCell ref="V3:AD3"/>
    <mergeCell ref="BZ3:BZ4"/>
    <mergeCell ref="BX3:BX4"/>
    <mergeCell ref="BY3:BY4"/>
    <mergeCell ref="BF3:BN3"/>
    <mergeCell ref="AE3:AM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Z34"/>
  <sheetViews>
    <sheetView workbookViewId="0">
      <selection activeCell="A1" sqref="A1"/>
    </sheetView>
  </sheetViews>
  <sheetFormatPr baseColWidth="8" defaultRowHeight="15" outlineLevelCol="0"/>
  <cols>
    <col width="4" customWidth="1" min="1" max="1"/>
    <col width="12" customWidth="1" min="2" max="2"/>
    <col width="2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10" customWidth="1" min="20" max="20"/>
    <col width="10" customWidth="1" min="21" max="21"/>
    <col width="10" customWidth="1" min="22" max="22"/>
    <col width="10" customWidth="1" min="23" max="23"/>
    <col width="10" customWidth="1" min="24" max="24"/>
    <col width="10" customWidth="1" min="25" max="25"/>
    <col width="12" customWidth="1" min="26" max="26"/>
  </cols>
  <sheetData>
    <row r="1">
      <c r="A1" s="5" t="inlineStr">
        <is>
          <t>NILAI CPMK / CPL PER MAHASISWA — [Nama Mata Kuliah]</t>
        </is>
      </c>
    </row>
    <row r="2" ht="20" customHeight="1">
      <c r="A2" s="2" t="inlineStr">
        <is>
          <t>Terisi OTOMATIS dari sheet "Input Nilai", "Bobot CPMK", dan "Peta CPL". Tidak perlu diisi manual.</t>
        </is>
      </c>
    </row>
    <row r="4">
      <c r="A4" s="6" t="inlineStr">
        <is>
          <t>No</t>
        </is>
      </c>
      <c r="B4" s="6" t="inlineStr">
        <is>
          <t>NIM</t>
        </is>
      </c>
      <c r="C4" s="6" t="inlineStr">
        <is>
          <t>Nama Mahasiswa</t>
        </is>
      </c>
      <c r="D4" s="6" t="inlineStr">
        <is>
          <t>Sub-CPMK 1</t>
        </is>
      </c>
      <c r="E4" s="6" t="inlineStr">
        <is>
          <t>Sub-CPMK 2</t>
        </is>
      </c>
      <c r="F4" s="6" t="inlineStr">
        <is>
          <t>Sub-CPMK 3</t>
        </is>
      </c>
      <c r="G4" s="6" t="inlineStr">
        <is>
          <t>Sub-CPMK 4</t>
        </is>
      </c>
      <c r="H4" s="6" t="inlineStr">
        <is>
          <t>Sub-CPMK 5</t>
        </is>
      </c>
      <c r="I4" s="6" t="inlineStr">
        <is>
          <t>Sub-CPMK 6</t>
        </is>
      </c>
      <c r="J4" s="6" t="inlineStr">
        <is>
          <t>Sub-CPMK 7</t>
        </is>
      </c>
      <c r="K4" s="6" t="inlineStr">
        <is>
          <t>Sub-CPMK 8</t>
        </is>
      </c>
      <c r="L4" s="6">
        <f>IF('Peta CPL'!$A$14="","CPMK-1",'Peta CPL'!$A$14)</f>
        <v/>
      </c>
      <c r="M4" s="6">
        <f>IF('Peta CPL'!$A$15="","CPMK-2",'Peta CPL'!$A$15)</f>
        <v/>
      </c>
      <c r="N4" s="6">
        <f>IF('Peta CPL'!$A$16="","CPMK-3",'Peta CPL'!$A$16)</f>
        <v/>
      </c>
      <c r="O4" s="6">
        <f>IF('Peta CPL'!$A$17="","CPMK-4",'Peta CPL'!$A$17)</f>
        <v/>
      </c>
      <c r="P4" s="6">
        <f>IF('Peta CPL'!$A$18="","CPMK-5",'Peta CPL'!$A$18)</f>
        <v/>
      </c>
      <c r="Q4" s="6">
        <f>IF('Peta CPL'!$A$19="","CPMK-6",'Peta CPL'!$A$19)</f>
        <v/>
      </c>
      <c r="R4" s="6">
        <f>IF('Peta CPL'!$A$20="","CPMK-7",'Peta CPL'!$A$20)</f>
        <v/>
      </c>
      <c r="S4" s="6">
        <f>IF('Peta CPL'!$A$21="","CPMK-8",'Peta CPL'!$A$21)</f>
        <v/>
      </c>
      <c r="T4" s="6">
        <f>IF('Peta CPL'!$A$5="","CPL-1",'Peta CPL'!$A$5)</f>
        <v/>
      </c>
      <c r="U4" s="6">
        <f>IF('Peta CPL'!$A$6="","CPL-2",'Peta CPL'!$A$6)</f>
        <v/>
      </c>
      <c r="V4" s="6">
        <f>IF('Peta CPL'!$A$7="","CPL-3",'Peta CPL'!$A$7)</f>
        <v/>
      </c>
      <c r="W4" s="6">
        <f>IF('Peta CPL'!$A$8="","CPL-4",'Peta CPL'!$A$8)</f>
        <v/>
      </c>
      <c r="X4" s="6">
        <f>IF('Peta CPL'!$A$9="","CPL-5",'Peta CPL'!$A$9)</f>
        <v/>
      </c>
      <c r="Y4" s="6">
        <f>IF('Peta CPL'!$A$10="","CPL-6",'Peta CPL'!$A$10)</f>
        <v/>
      </c>
      <c r="Z4" s="6" t="inlineStr">
        <is>
          <t>Nilai Akhir
MK</t>
        </is>
      </c>
    </row>
    <row r="5">
      <c r="A5" s="7">
        <f>'Input Nilai'!A5</f>
        <v/>
      </c>
      <c r="B5" s="7">
        <f>'Input Nilai'!B5</f>
        <v/>
      </c>
      <c r="C5" s="15">
        <f>'Input Nilai'!C5</f>
        <v/>
      </c>
      <c r="D5" s="7">
        <f>IF(OR('Input Nilai'!$B5="",'Bobot CPMK'!$O$4=0),"",(SUMPRODUCT('Input Nilai'!D5:L5,'Bobot CPMK'!$E$4:$M$4)+'Input Nilai'!$BX5*'Bobot CPMK'!$N$4)/'Bobot CPMK'!$O$4)</f>
        <v/>
      </c>
      <c r="E5" s="7">
        <f>IF(OR('Input Nilai'!$B5="",'Bobot CPMK'!$O$5=0),"",(SUMPRODUCT('Input Nilai'!M5:U5,'Bobot CPMK'!$E$5:$M$5)+'Input Nilai'!$BX5*'Bobot CPMK'!$N$5)/'Bobot CPMK'!$O$5)</f>
        <v/>
      </c>
      <c r="F5" s="7">
        <f>IF(OR('Input Nilai'!$B5="",'Bobot CPMK'!$O$6=0),"",(SUMPRODUCT('Input Nilai'!V5:AD5,'Bobot CPMK'!$E$6:$M$6)+'Input Nilai'!$BX5*'Bobot CPMK'!$N$6)/'Bobot CPMK'!$O$6)</f>
        <v/>
      </c>
      <c r="G5" s="7">
        <f>IF(OR('Input Nilai'!$B5="",'Bobot CPMK'!$O$7=0),"",(SUMPRODUCT('Input Nilai'!AE5:AM5,'Bobot CPMK'!$E$7:$M$7)+'Input Nilai'!$BX5*'Bobot CPMK'!$N$7)/'Bobot CPMK'!$O$7)</f>
        <v/>
      </c>
      <c r="H5" s="7">
        <f>IF(OR('Input Nilai'!$B5="",'Bobot CPMK'!$O$8=0),"",(SUMPRODUCT('Input Nilai'!AN5:AV5,'Bobot CPMK'!$E$8:$M$8)+'Input Nilai'!$BX5*'Bobot CPMK'!$N$8)/'Bobot CPMK'!$O$8)</f>
        <v/>
      </c>
      <c r="I5" s="7">
        <f>IF(OR('Input Nilai'!$B5="",'Bobot CPMK'!$O$9=0),"",(SUMPRODUCT('Input Nilai'!AW5:BE5,'Bobot CPMK'!$E$9:$M$9)+'Input Nilai'!$BX5*'Bobot CPMK'!$N$9)/'Bobot CPMK'!$O$9)</f>
        <v/>
      </c>
      <c r="J5" s="7">
        <f>IF(OR('Input Nilai'!$B5="",'Bobot CPMK'!$O$10=0),"",(SUMPRODUCT('Input Nilai'!BF5:BN5,'Bobot CPMK'!$E$10:$M$10)+'Input Nilai'!$BX5*'Bobot CPMK'!$N$10)/'Bobot CPMK'!$O$10)</f>
        <v/>
      </c>
      <c r="K5" s="7">
        <f>IF(OR('Input Nilai'!$B5="",'Bobot CPMK'!$O$11=0),"",(SUMPRODUCT('Input Nilai'!BO5:BW5,'Bobot CPMK'!$E$11:$M$11)+'Input Nilai'!$BX5*'Bobot CPMK'!$N$11)/'Bobot CPMK'!$O$11)</f>
        <v/>
      </c>
      <c r="L5" s="7">
        <f>IF(OR($B5="",'Peta CPL'!$A$14=""),"",IFERROR(SUM(IF('Bobot CPMK'!$B$4='Peta CPL'!$A$14,N(D5)*'Bobot CPMK'!$P$4,0),IF('Bobot CPMK'!$B$5='Peta CPL'!$A$14,N(E5)*'Bobot CPMK'!$P$5,0),IF('Bobot CPMK'!$B$6='Peta CPL'!$A$14,N(F5)*'Bobot CPMK'!$P$6,0),IF('Bobot CPMK'!$B$7='Peta CPL'!$A$14,N(G5)*'Bobot CPMK'!$P$7,0),IF('Bobot CPMK'!$B$8='Peta CPL'!$A$14,N(H5)*'Bobot CPMK'!$P$8,0),IF('Bobot CPMK'!$B$9='Peta CPL'!$A$14,N(I5)*'Bobot CPMK'!$P$9,0),IF('Bobot CPMK'!$B$10='Peta CPL'!$A$14,N(J5)*'Bobot CPMK'!$P$10,0),IF('Bobot CPMK'!$B$11='Peta CPL'!$A$14,N(K5)*'Bobot CPMK'!$P$11,0))/SUM(IF('Bobot CPMK'!$B$4='Peta CPL'!$A$14,'Bobot CPMK'!$P$4,0),IF('Bobot CPMK'!$B$5='Peta CPL'!$A$14,'Bobot CPMK'!$P$5,0),IF('Bobot CPMK'!$B$6='Peta CPL'!$A$14,'Bobot CPMK'!$P$6,0),IF('Bobot CPMK'!$B$7='Peta CPL'!$A$14,'Bobot CPMK'!$P$7,0),IF('Bobot CPMK'!$B$8='Peta CPL'!$A$14,'Bobot CPMK'!$P$8,0),IF('Bobot CPMK'!$B$9='Peta CPL'!$A$14,'Bobot CPMK'!$P$9,0),IF('Bobot CPMK'!$B$10='Peta CPL'!$A$14,'Bobot CPMK'!$P$10,0),IF('Bobot CPMK'!$B$11='Peta CPL'!$A$14,'Bobot CPMK'!$P$11,0)),""))</f>
        <v/>
      </c>
      <c r="M5" s="7">
        <f>IF(OR($B5="",'Peta CPL'!$A$15=""),"",IFERROR(SUM(IF('Bobot CPMK'!$B$4='Peta CPL'!$A$15,N(D5)*'Bobot CPMK'!$P$4,0),IF('Bobot CPMK'!$B$5='Peta CPL'!$A$15,N(E5)*'Bobot CPMK'!$P$5,0),IF('Bobot CPMK'!$B$6='Peta CPL'!$A$15,N(F5)*'Bobot CPMK'!$P$6,0),IF('Bobot CPMK'!$B$7='Peta CPL'!$A$15,N(G5)*'Bobot CPMK'!$P$7,0),IF('Bobot CPMK'!$B$8='Peta CPL'!$A$15,N(H5)*'Bobot CPMK'!$P$8,0),IF('Bobot CPMK'!$B$9='Peta CPL'!$A$15,N(I5)*'Bobot CPMK'!$P$9,0),IF('Bobot CPMK'!$B$10='Peta CPL'!$A$15,N(J5)*'Bobot CPMK'!$P$10,0),IF('Bobot CPMK'!$B$11='Peta CPL'!$A$15,N(K5)*'Bobot CPMK'!$P$11,0))/SUM(IF('Bobot CPMK'!$B$4='Peta CPL'!$A$15,'Bobot CPMK'!$P$4,0),IF('Bobot CPMK'!$B$5='Peta CPL'!$A$15,'Bobot CPMK'!$P$5,0),IF('Bobot CPMK'!$B$6='Peta CPL'!$A$15,'Bobot CPMK'!$P$6,0),IF('Bobot CPMK'!$B$7='Peta CPL'!$A$15,'Bobot CPMK'!$P$7,0),IF('Bobot CPMK'!$B$8='Peta CPL'!$A$15,'Bobot CPMK'!$P$8,0),IF('Bobot CPMK'!$B$9='Peta CPL'!$A$15,'Bobot CPMK'!$P$9,0),IF('Bobot CPMK'!$B$10='Peta CPL'!$A$15,'Bobot CPMK'!$P$10,0),IF('Bobot CPMK'!$B$11='Peta CPL'!$A$15,'Bobot CPMK'!$P$11,0)),""))</f>
        <v/>
      </c>
      <c r="N5" s="7">
        <f>IF(OR($B5="",'Peta CPL'!$A$16=""),"",IFERROR(SUM(IF('Bobot CPMK'!$B$4='Peta CPL'!$A$16,N(D5)*'Bobot CPMK'!$P$4,0),IF('Bobot CPMK'!$B$5='Peta CPL'!$A$16,N(E5)*'Bobot CPMK'!$P$5,0),IF('Bobot CPMK'!$B$6='Peta CPL'!$A$16,N(F5)*'Bobot CPMK'!$P$6,0),IF('Bobot CPMK'!$B$7='Peta CPL'!$A$16,N(G5)*'Bobot CPMK'!$P$7,0),IF('Bobot CPMK'!$B$8='Peta CPL'!$A$16,N(H5)*'Bobot CPMK'!$P$8,0),IF('Bobot CPMK'!$B$9='Peta CPL'!$A$16,N(I5)*'Bobot CPMK'!$P$9,0),IF('Bobot CPMK'!$B$10='Peta CPL'!$A$16,N(J5)*'Bobot CPMK'!$P$10,0),IF('Bobot CPMK'!$B$11='Peta CPL'!$A$16,N(K5)*'Bobot CPMK'!$P$11,0))/SUM(IF('Bobot CPMK'!$B$4='Peta CPL'!$A$16,'Bobot CPMK'!$P$4,0),IF('Bobot CPMK'!$B$5='Peta CPL'!$A$16,'Bobot CPMK'!$P$5,0),IF('Bobot CPMK'!$B$6='Peta CPL'!$A$16,'Bobot CPMK'!$P$6,0),IF('Bobot CPMK'!$B$7='Peta CPL'!$A$16,'Bobot CPMK'!$P$7,0),IF('Bobot CPMK'!$B$8='Peta CPL'!$A$16,'Bobot CPMK'!$P$8,0),IF('Bobot CPMK'!$B$9='Peta CPL'!$A$16,'Bobot CPMK'!$P$9,0),IF('Bobot CPMK'!$B$10='Peta CPL'!$A$16,'Bobot CPMK'!$P$10,0),IF('Bobot CPMK'!$B$11='Peta CPL'!$A$16,'Bobot CPMK'!$P$11,0)),""))</f>
        <v/>
      </c>
      <c r="O5" s="7">
        <f>IF(OR($B5="",'Peta CPL'!$A$17=""),"",IFERROR(SUM(IF('Bobot CPMK'!$B$4='Peta CPL'!$A$17,N(D5)*'Bobot CPMK'!$P$4,0),IF('Bobot CPMK'!$B$5='Peta CPL'!$A$17,N(E5)*'Bobot CPMK'!$P$5,0),IF('Bobot CPMK'!$B$6='Peta CPL'!$A$17,N(F5)*'Bobot CPMK'!$P$6,0),IF('Bobot CPMK'!$B$7='Peta CPL'!$A$17,N(G5)*'Bobot CPMK'!$P$7,0),IF('Bobot CPMK'!$B$8='Peta CPL'!$A$17,N(H5)*'Bobot CPMK'!$P$8,0),IF('Bobot CPMK'!$B$9='Peta CPL'!$A$17,N(I5)*'Bobot CPMK'!$P$9,0),IF('Bobot CPMK'!$B$10='Peta CPL'!$A$17,N(J5)*'Bobot CPMK'!$P$10,0),IF('Bobot CPMK'!$B$11='Peta CPL'!$A$17,N(K5)*'Bobot CPMK'!$P$11,0))/SUM(IF('Bobot CPMK'!$B$4='Peta CPL'!$A$17,'Bobot CPMK'!$P$4,0),IF('Bobot CPMK'!$B$5='Peta CPL'!$A$17,'Bobot CPMK'!$P$5,0),IF('Bobot CPMK'!$B$6='Peta CPL'!$A$17,'Bobot CPMK'!$P$6,0),IF('Bobot CPMK'!$B$7='Peta CPL'!$A$17,'Bobot CPMK'!$P$7,0),IF('Bobot CPMK'!$B$8='Peta CPL'!$A$17,'Bobot CPMK'!$P$8,0),IF('Bobot CPMK'!$B$9='Peta CPL'!$A$17,'Bobot CPMK'!$P$9,0),IF('Bobot CPMK'!$B$10='Peta CPL'!$A$17,'Bobot CPMK'!$P$10,0),IF('Bobot CPMK'!$B$11='Peta CPL'!$A$17,'Bobot CPMK'!$P$11,0)),""))</f>
        <v/>
      </c>
      <c r="P5" s="7">
        <f>IF(OR($B5="",'Peta CPL'!$A$18=""),"",IFERROR(SUM(IF('Bobot CPMK'!$B$4='Peta CPL'!$A$18,N(D5)*'Bobot CPMK'!$P$4,0),IF('Bobot CPMK'!$B$5='Peta CPL'!$A$18,N(E5)*'Bobot CPMK'!$P$5,0),IF('Bobot CPMK'!$B$6='Peta CPL'!$A$18,N(F5)*'Bobot CPMK'!$P$6,0),IF('Bobot CPMK'!$B$7='Peta CPL'!$A$18,N(G5)*'Bobot CPMK'!$P$7,0),IF('Bobot CPMK'!$B$8='Peta CPL'!$A$18,N(H5)*'Bobot CPMK'!$P$8,0),IF('Bobot CPMK'!$B$9='Peta CPL'!$A$18,N(I5)*'Bobot CPMK'!$P$9,0),IF('Bobot CPMK'!$B$10='Peta CPL'!$A$18,N(J5)*'Bobot CPMK'!$P$10,0),IF('Bobot CPMK'!$B$11='Peta CPL'!$A$18,N(K5)*'Bobot CPMK'!$P$11,0))/SUM(IF('Bobot CPMK'!$B$4='Peta CPL'!$A$18,'Bobot CPMK'!$P$4,0),IF('Bobot CPMK'!$B$5='Peta CPL'!$A$18,'Bobot CPMK'!$P$5,0),IF('Bobot CPMK'!$B$6='Peta CPL'!$A$18,'Bobot CPMK'!$P$6,0),IF('Bobot CPMK'!$B$7='Peta CPL'!$A$18,'Bobot CPMK'!$P$7,0),IF('Bobot CPMK'!$B$8='Peta CPL'!$A$18,'Bobot CPMK'!$P$8,0),IF('Bobot CPMK'!$B$9='Peta CPL'!$A$18,'Bobot CPMK'!$P$9,0),IF('Bobot CPMK'!$B$10='Peta CPL'!$A$18,'Bobot CPMK'!$P$10,0),IF('Bobot CPMK'!$B$11='Peta CPL'!$A$18,'Bobot CPMK'!$P$11,0)),""))</f>
        <v/>
      </c>
      <c r="Q5" s="7">
        <f>IF(OR($B5="",'Peta CPL'!$A$19=""),"",IFERROR(SUM(IF('Bobot CPMK'!$B$4='Peta CPL'!$A$19,N(D5)*'Bobot CPMK'!$P$4,0),IF('Bobot CPMK'!$B$5='Peta CPL'!$A$19,N(E5)*'Bobot CPMK'!$P$5,0),IF('Bobot CPMK'!$B$6='Peta CPL'!$A$19,N(F5)*'Bobot CPMK'!$P$6,0),IF('Bobot CPMK'!$B$7='Peta CPL'!$A$19,N(G5)*'Bobot CPMK'!$P$7,0),IF('Bobot CPMK'!$B$8='Peta CPL'!$A$19,N(H5)*'Bobot CPMK'!$P$8,0),IF('Bobot CPMK'!$B$9='Peta CPL'!$A$19,N(I5)*'Bobot CPMK'!$P$9,0),IF('Bobot CPMK'!$B$10='Peta CPL'!$A$19,N(J5)*'Bobot CPMK'!$P$10,0),IF('Bobot CPMK'!$B$11='Peta CPL'!$A$19,N(K5)*'Bobot CPMK'!$P$11,0))/SUM(IF('Bobot CPMK'!$B$4='Peta CPL'!$A$19,'Bobot CPMK'!$P$4,0),IF('Bobot CPMK'!$B$5='Peta CPL'!$A$19,'Bobot CPMK'!$P$5,0),IF('Bobot CPMK'!$B$6='Peta CPL'!$A$19,'Bobot CPMK'!$P$6,0),IF('Bobot CPMK'!$B$7='Peta CPL'!$A$19,'Bobot CPMK'!$P$7,0),IF('Bobot CPMK'!$B$8='Peta CPL'!$A$19,'Bobot CPMK'!$P$8,0),IF('Bobot CPMK'!$B$9='Peta CPL'!$A$19,'Bobot CPMK'!$P$9,0),IF('Bobot CPMK'!$B$10='Peta CPL'!$A$19,'Bobot CPMK'!$P$10,0),IF('Bobot CPMK'!$B$11='Peta CPL'!$A$19,'Bobot CPMK'!$P$11,0)),""))</f>
        <v/>
      </c>
      <c r="R5" s="7">
        <f>IF(OR($B5="",'Peta CPL'!$A$20=""),"",IFERROR(SUM(IF('Bobot CPMK'!$B$4='Peta CPL'!$A$20,N(D5)*'Bobot CPMK'!$P$4,0),IF('Bobot CPMK'!$B$5='Peta CPL'!$A$20,N(E5)*'Bobot CPMK'!$P$5,0),IF('Bobot CPMK'!$B$6='Peta CPL'!$A$20,N(F5)*'Bobot CPMK'!$P$6,0),IF('Bobot CPMK'!$B$7='Peta CPL'!$A$20,N(G5)*'Bobot CPMK'!$P$7,0),IF('Bobot CPMK'!$B$8='Peta CPL'!$A$20,N(H5)*'Bobot CPMK'!$P$8,0),IF('Bobot CPMK'!$B$9='Peta CPL'!$A$20,N(I5)*'Bobot CPMK'!$P$9,0),IF('Bobot CPMK'!$B$10='Peta CPL'!$A$20,N(J5)*'Bobot CPMK'!$P$10,0),IF('Bobot CPMK'!$B$11='Peta CPL'!$A$20,N(K5)*'Bobot CPMK'!$P$11,0))/SUM(IF('Bobot CPMK'!$B$4='Peta CPL'!$A$20,'Bobot CPMK'!$P$4,0),IF('Bobot CPMK'!$B$5='Peta CPL'!$A$20,'Bobot CPMK'!$P$5,0),IF('Bobot CPMK'!$B$6='Peta CPL'!$A$20,'Bobot CPMK'!$P$6,0),IF('Bobot CPMK'!$B$7='Peta CPL'!$A$20,'Bobot CPMK'!$P$7,0),IF('Bobot CPMK'!$B$8='Peta CPL'!$A$20,'Bobot CPMK'!$P$8,0),IF('Bobot CPMK'!$B$9='Peta CPL'!$A$20,'Bobot CPMK'!$P$9,0),IF('Bobot CPMK'!$B$10='Peta CPL'!$A$20,'Bobot CPMK'!$P$10,0),IF('Bobot CPMK'!$B$11='Peta CPL'!$A$20,'Bobot CPMK'!$P$11,0)),""))</f>
        <v/>
      </c>
      <c r="S5" s="7">
        <f>IF(OR($B5="",'Peta CPL'!$A$21=""),"",IFERROR(SUM(IF('Bobot CPMK'!$B$4='Peta CPL'!$A$21,N(D5)*'Bobot CPMK'!$P$4,0),IF('Bobot CPMK'!$B$5='Peta CPL'!$A$21,N(E5)*'Bobot CPMK'!$P$5,0),IF('Bobot CPMK'!$B$6='Peta CPL'!$A$21,N(F5)*'Bobot CPMK'!$P$6,0),IF('Bobot CPMK'!$B$7='Peta CPL'!$A$21,N(G5)*'Bobot CPMK'!$P$7,0),IF('Bobot CPMK'!$B$8='Peta CPL'!$A$21,N(H5)*'Bobot CPMK'!$P$8,0),IF('Bobot CPMK'!$B$9='Peta CPL'!$A$21,N(I5)*'Bobot CPMK'!$P$9,0),IF('Bobot CPMK'!$B$10='Peta CPL'!$A$21,N(J5)*'Bobot CPMK'!$P$10,0),IF('Bobot CPMK'!$B$11='Peta CPL'!$A$21,N(K5)*'Bobot CPMK'!$P$11,0))/SUM(IF('Bobot CPMK'!$B$4='Peta CPL'!$A$21,'Bobot CPMK'!$P$4,0),IF('Bobot CPMK'!$B$5='Peta CPL'!$A$21,'Bobot CPMK'!$P$5,0),IF('Bobot CPMK'!$B$6='Peta CPL'!$A$21,'Bobot CPMK'!$P$6,0),IF('Bobot CPMK'!$B$7='Peta CPL'!$A$21,'Bobot CPMK'!$P$7,0),IF('Bobot CPMK'!$B$8='Peta CPL'!$A$21,'Bobot CPMK'!$P$8,0),IF('Bobot CPMK'!$B$9='Peta CPL'!$A$21,'Bobot CPMK'!$P$9,0),IF('Bobot CPMK'!$B$10='Peta CPL'!$A$21,'Bobot CPMK'!$P$10,0),IF('Bobot CPMK'!$B$11='Peta CPL'!$A$21,'Bobot CPMK'!$P$11,0)),""))</f>
        <v/>
      </c>
      <c r="T5" s="7">
        <f>IF(OR($B5="",'Peta CPL'!$A$5=""),"",IFERROR((N(L5)*N('Peta CPL'!$C$14)*N('Peta CPL'!$D$14)+N(M5)*N('Peta CPL'!$C$15)*N('Peta CPL'!$D$15)+N(N5)*N('Peta CPL'!$C$16)*N('Peta CPL'!$D$16)+N(O5)*N('Peta CPL'!$C$17)*N('Peta CPL'!$D$17)+N(P5)*N('Peta CPL'!$C$18)*N('Peta CPL'!$D$18)+N(Q5)*N('Peta CPL'!$C$19)*N('Peta CPL'!$D$19)+N(R5)*N('Peta CPL'!$C$20)*N('Peta CPL'!$D$20)+N(S5)*N('Peta CPL'!$C$21)*N('Peta CPL'!$D$21))/(N('Peta CPL'!$C$14)*N('Peta CPL'!$D$14)+N('Peta CPL'!$C$15)*N('Peta CPL'!$D$15)+N('Peta CPL'!$C$16)*N('Peta CPL'!$D$16)+N('Peta CPL'!$C$17)*N('Peta CPL'!$D$17)+N('Peta CPL'!$C$18)*N('Peta CPL'!$D$18)+N('Peta CPL'!$C$19)*N('Peta CPL'!$D$19)+N('Peta CPL'!$C$20)*N('Peta CPL'!$D$20)+N('Peta CPL'!$C$21)*N('Peta CPL'!$D$21)),""))</f>
        <v/>
      </c>
      <c r="U5" s="7">
        <f>IF(OR($B5="",'Peta CPL'!$A$6=""),"",IFERROR((N(L5)*N('Peta CPL'!$C$14)*N('Peta CPL'!$E$14)+N(M5)*N('Peta CPL'!$C$15)*N('Peta CPL'!$E$15)+N(N5)*N('Peta CPL'!$C$16)*N('Peta CPL'!$E$16)+N(O5)*N('Peta CPL'!$C$17)*N('Peta CPL'!$E$17)+N(P5)*N('Peta CPL'!$C$18)*N('Peta CPL'!$E$18)+N(Q5)*N('Peta CPL'!$C$19)*N('Peta CPL'!$E$19)+N(R5)*N('Peta CPL'!$C$20)*N('Peta CPL'!$E$20)+N(S5)*N('Peta CPL'!$C$21)*N('Peta CPL'!$E$21))/(N('Peta CPL'!$C$14)*N('Peta CPL'!$E$14)+N('Peta CPL'!$C$15)*N('Peta CPL'!$E$15)+N('Peta CPL'!$C$16)*N('Peta CPL'!$E$16)+N('Peta CPL'!$C$17)*N('Peta CPL'!$E$17)+N('Peta CPL'!$C$18)*N('Peta CPL'!$E$18)+N('Peta CPL'!$C$19)*N('Peta CPL'!$E$19)+N('Peta CPL'!$C$20)*N('Peta CPL'!$E$20)+N('Peta CPL'!$C$21)*N('Peta CPL'!$E$21)),""))</f>
        <v/>
      </c>
      <c r="V5" s="7">
        <f>IF(OR($B5="",'Peta CPL'!$A$7=""),"",IFERROR((N(L5)*N('Peta CPL'!$C$14)*N('Peta CPL'!$F$14)+N(M5)*N('Peta CPL'!$C$15)*N('Peta CPL'!$F$15)+N(N5)*N('Peta CPL'!$C$16)*N('Peta CPL'!$F$16)+N(O5)*N('Peta CPL'!$C$17)*N('Peta CPL'!$F$17)+N(P5)*N('Peta CPL'!$C$18)*N('Peta CPL'!$F$18)+N(Q5)*N('Peta CPL'!$C$19)*N('Peta CPL'!$F$19)+N(R5)*N('Peta CPL'!$C$20)*N('Peta CPL'!$F$20)+N(S5)*N('Peta CPL'!$C$21)*N('Peta CPL'!$F$21))/(N('Peta CPL'!$C$14)*N('Peta CPL'!$F$14)+N('Peta CPL'!$C$15)*N('Peta CPL'!$F$15)+N('Peta CPL'!$C$16)*N('Peta CPL'!$F$16)+N('Peta CPL'!$C$17)*N('Peta CPL'!$F$17)+N('Peta CPL'!$C$18)*N('Peta CPL'!$F$18)+N('Peta CPL'!$C$19)*N('Peta CPL'!$F$19)+N('Peta CPL'!$C$20)*N('Peta CPL'!$F$20)+N('Peta CPL'!$C$21)*N('Peta CPL'!$F$21)),""))</f>
        <v/>
      </c>
      <c r="W5" s="7">
        <f>IF(OR($B5="",'Peta CPL'!$A$8=""),"",IFERROR((N(L5)*N('Peta CPL'!$C$14)*N('Peta CPL'!$G$14)+N(M5)*N('Peta CPL'!$C$15)*N('Peta CPL'!$G$15)+N(N5)*N('Peta CPL'!$C$16)*N('Peta CPL'!$G$16)+N(O5)*N('Peta CPL'!$C$17)*N('Peta CPL'!$G$17)+N(P5)*N('Peta CPL'!$C$18)*N('Peta CPL'!$G$18)+N(Q5)*N('Peta CPL'!$C$19)*N('Peta CPL'!$G$19)+N(R5)*N('Peta CPL'!$C$20)*N('Peta CPL'!$G$20)+N(S5)*N('Peta CPL'!$C$21)*N('Peta CPL'!$G$21))/(N('Peta CPL'!$C$14)*N('Peta CPL'!$G$14)+N('Peta CPL'!$C$15)*N('Peta CPL'!$G$15)+N('Peta CPL'!$C$16)*N('Peta CPL'!$G$16)+N('Peta CPL'!$C$17)*N('Peta CPL'!$G$17)+N('Peta CPL'!$C$18)*N('Peta CPL'!$G$18)+N('Peta CPL'!$C$19)*N('Peta CPL'!$G$19)+N('Peta CPL'!$C$20)*N('Peta CPL'!$G$20)+N('Peta CPL'!$C$21)*N('Peta CPL'!$G$21)),""))</f>
        <v/>
      </c>
      <c r="X5" s="7">
        <f>IF(OR($B5="",'Peta CPL'!$A$9=""),"",IFERROR((N(L5)*N('Peta CPL'!$C$14)*N('Peta CPL'!$H$14)+N(M5)*N('Peta CPL'!$C$15)*N('Peta CPL'!$H$15)+N(N5)*N('Peta CPL'!$C$16)*N('Peta CPL'!$H$16)+N(O5)*N('Peta CPL'!$C$17)*N('Peta CPL'!$H$17)+N(P5)*N('Peta CPL'!$C$18)*N('Peta CPL'!$H$18)+N(Q5)*N('Peta CPL'!$C$19)*N('Peta CPL'!$H$19)+N(R5)*N('Peta CPL'!$C$20)*N('Peta CPL'!$H$20)+N(S5)*N('Peta CPL'!$C$21)*N('Peta CPL'!$H$21))/(N('Peta CPL'!$C$14)*N('Peta CPL'!$H$14)+N('Peta CPL'!$C$15)*N('Peta CPL'!$H$15)+N('Peta CPL'!$C$16)*N('Peta CPL'!$H$16)+N('Peta CPL'!$C$17)*N('Peta CPL'!$H$17)+N('Peta CPL'!$C$18)*N('Peta CPL'!$H$18)+N('Peta CPL'!$C$19)*N('Peta CPL'!$H$19)+N('Peta CPL'!$C$20)*N('Peta CPL'!$H$20)+N('Peta CPL'!$C$21)*N('Peta CPL'!$H$21)),""))</f>
        <v/>
      </c>
      <c r="Y5" s="7">
        <f>IF(OR($B5="",'Peta CPL'!$A$10=""),"",IFERROR((N(L5)*N('Peta CPL'!$C$14)*N('Peta CPL'!$I$14)+N(M5)*N('Peta CPL'!$C$15)*N('Peta CPL'!$I$15)+N(N5)*N('Peta CPL'!$C$16)*N('Peta CPL'!$I$16)+N(O5)*N('Peta CPL'!$C$17)*N('Peta CPL'!$I$17)+N(P5)*N('Peta CPL'!$C$18)*N('Peta CPL'!$I$18)+N(Q5)*N('Peta CPL'!$C$19)*N('Peta CPL'!$I$19)+N(R5)*N('Peta CPL'!$C$20)*N('Peta CPL'!$I$20)+N(S5)*N('Peta CPL'!$C$21)*N('Peta CPL'!$I$21))/(N('Peta CPL'!$C$14)*N('Peta CPL'!$I$14)+N('Peta CPL'!$C$15)*N('Peta CPL'!$I$15)+N('Peta CPL'!$C$16)*N('Peta CPL'!$I$16)+N('Peta CPL'!$C$17)*N('Peta CPL'!$I$17)+N('Peta CPL'!$C$18)*N('Peta CPL'!$I$18)+N('Peta CPL'!$C$19)*N('Peta CPL'!$I$19)+N('Peta CPL'!$C$20)*N('Peta CPL'!$I$20)+N('Peta CPL'!$C$21)*N('Peta CPL'!$I$21)),""))</f>
        <v/>
      </c>
      <c r="Z5" s="7">
        <f>IF($B5="","",IFERROR((N(L5)*N('Peta CPL'!$C$14)+N(M5)*N('Peta CPL'!$C$15)+N(N5)*N('Peta CPL'!$C$16)+N(O5)*N('Peta CPL'!$C$17)+N(P5)*N('Peta CPL'!$C$18)+N(Q5)*N('Peta CPL'!$C$19)+N(R5)*N('Peta CPL'!$C$20)+N(S5)*N('Peta CPL'!$C$21))/100,""))</f>
        <v/>
      </c>
    </row>
    <row r="6">
      <c r="A6" s="7">
        <f>'Input Nilai'!A6</f>
        <v/>
      </c>
      <c r="B6" s="7">
        <f>'Input Nilai'!B6</f>
        <v/>
      </c>
      <c r="C6" s="15">
        <f>'Input Nilai'!C6</f>
        <v/>
      </c>
      <c r="D6" s="7">
        <f>IF(OR('Input Nilai'!$B6="",'Bobot CPMK'!$O$4=0),"",(SUMPRODUCT('Input Nilai'!D6:L6,'Bobot CPMK'!$E$4:$M$4)+'Input Nilai'!$BX6*'Bobot CPMK'!$N$4)/'Bobot CPMK'!$O$4)</f>
        <v/>
      </c>
      <c r="E6" s="7">
        <f>IF(OR('Input Nilai'!$B6="",'Bobot CPMK'!$O$5=0),"",(SUMPRODUCT('Input Nilai'!M6:U6,'Bobot CPMK'!$E$5:$M$5)+'Input Nilai'!$BX6*'Bobot CPMK'!$N$5)/'Bobot CPMK'!$O$5)</f>
        <v/>
      </c>
      <c r="F6" s="7">
        <f>IF(OR('Input Nilai'!$B6="",'Bobot CPMK'!$O$6=0),"",(SUMPRODUCT('Input Nilai'!V6:AD6,'Bobot CPMK'!$E$6:$M$6)+'Input Nilai'!$BX6*'Bobot CPMK'!$N$6)/'Bobot CPMK'!$O$6)</f>
        <v/>
      </c>
      <c r="G6" s="7">
        <f>IF(OR('Input Nilai'!$B6="",'Bobot CPMK'!$O$7=0),"",(SUMPRODUCT('Input Nilai'!AE6:AM6,'Bobot CPMK'!$E$7:$M$7)+'Input Nilai'!$BX6*'Bobot CPMK'!$N$7)/'Bobot CPMK'!$O$7)</f>
        <v/>
      </c>
      <c r="H6" s="7">
        <f>IF(OR('Input Nilai'!$B6="",'Bobot CPMK'!$O$8=0),"",(SUMPRODUCT('Input Nilai'!AN6:AV6,'Bobot CPMK'!$E$8:$M$8)+'Input Nilai'!$BX6*'Bobot CPMK'!$N$8)/'Bobot CPMK'!$O$8)</f>
        <v/>
      </c>
      <c r="I6" s="7">
        <f>IF(OR('Input Nilai'!$B6="",'Bobot CPMK'!$O$9=0),"",(SUMPRODUCT('Input Nilai'!AW6:BE6,'Bobot CPMK'!$E$9:$M$9)+'Input Nilai'!$BX6*'Bobot CPMK'!$N$9)/'Bobot CPMK'!$O$9)</f>
        <v/>
      </c>
      <c r="J6" s="7">
        <f>IF(OR('Input Nilai'!$B6="",'Bobot CPMK'!$O$10=0),"",(SUMPRODUCT('Input Nilai'!BF6:BN6,'Bobot CPMK'!$E$10:$M$10)+'Input Nilai'!$BX6*'Bobot CPMK'!$N$10)/'Bobot CPMK'!$O$10)</f>
        <v/>
      </c>
      <c r="K6" s="7">
        <f>IF(OR('Input Nilai'!$B6="",'Bobot CPMK'!$O$11=0),"",(SUMPRODUCT('Input Nilai'!BO6:BW6,'Bobot CPMK'!$E$11:$M$11)+'Input Nilai'!$BX6*'Bobot CPMK'!$N$11)/'Bobot CPMK'!$O$11)</f>
        <v/>
      </c>
      <c r="L6" s="7">
        <f>IF(OR($B6="",'Peta CPL'!$A$14=""),"",IFERROR(SUM(IF('Bobot CPMK'!$B$4='Peta CPL'!$A$14,N(D6)*'Bobot CPMK'!$P$4,0),IF('Bobot CPMK'!$B$5='Peta CPL'!$A$14,N(E6)*'Bobot CPMK'!$P$5,0),IF('Bobot CPMK'!$B$6='Peta CPL'!$A$14,N(F6)*'Bobot CPMK'!$P$6,0),IF('Bobot CPMK'!$B$7='Peta CPL'!$A$14,N(G6)*'Bobot CPMK'!$P$7,0),IF('Bobot CPMK'!$B$8='Peta CPL'!$A$14,N(H6)*'Bobot CPMK'!$P$8,0),IF('Bobot CPMK'!$B$9='Peta CPL'!$A$14,N(I6)*'Bobot CPMK'!$P$9,0),IF('Bobot CPMK'!$B$10='Peta CPL'!$A$14,N(J6)*'Bobot CPMK'!$P$10,0),IF('Bobot CPMK'!$B$11='Peta CPL'!$A$14,N(K6)*'Bobot CPMK'!$P$11,0))/SUM(IF('Bobot CPMK'!$B$4='Peta CPL'!$A$14,'Bobot CPMK'!$P$4,0),IF('Bobot CPMK'!$B$5='Peta CPL'!$A$14,'Bobot CPMK'!$P$5,0),IF('Bobot CPMK'!$B$6='Peta CPL'!$A$14,'Bobot CPMK'!$P$6,0),IF('Bobot CPMK'!$B$7='Peta CPL'!$A$14,'Bobot CPMK'!$P$7,0),IF('Bobot CPMK'!$B$8='Peta CPL'!$A$14,'Bobot CPMK'!$P$8,0),IF('Bobot CPMK'!$B$9='Peta CPL'!$A$14,'Bobot CPMK'!$P$9,0),IF('Bobot CPMK'!$B$10='Peta CPL'!$A$14,'Bobot CPMK'!$P$10,0),IF('Bobot CPMK'!$B$11='Peta CPL'!$A$14,'Bobot CPMK'!$P$11,0)),""))</f>
        <v/>
      </c>
      <c r="M6" s="7">
        <f>IF(OR($B6="",'Peta CPL'!$A$15=""),"",IFERROR(SUM(IF('Bobot CPMK'!$B$4='Peta CPL'!$A$15,N(D6)*'Bobot CPMK'!$P$4,0),IF('Bobot CPMK'!$B$5='Peta CPL'!$A$15,N(E6)*'Bobot CPMK'!$P$5,0),IF('Bobot CPMK'!$B$6='Peta CPL'!$A$15,N(F6)*'Bobot CPMK'!$P$6,0),IF('Bobot CPMK'!$B$7='Peta CPL'!$A$15,N(G6)*'Bobot CPMK'!$P$7,0),IF('Bobot CPMK'!$B$8='Peta CPL'!$A$15,N(H6)*'Bobot CPMK'!$P$8,0),IF('Bobot CPMK'!$B$9='Peta CPL'!$A$15,N(I6)*'Bobot CPMK'!$P$9,0),IF('Bobot CPMK'!$B$10='Peta CPL'!$A$15,N(J6)*'Bobot CPMK'!$P$10,0),IF('Bobot CPMK'!$B$11='Peta CPL'!$A$15,N(K6)*'Bobot CPMK'!$P$11,0))/SUM(IF('Bobot CPMK'!$B$4='Peta CPL'!$A$15,'Bobot CPMK'!$P$4,0),IF('Bobot CPMK'!$B$5='Peta CPL'!$A$15,'Bobot CPMK'!$P$5,0),IF('Bobot CPMK'!$B$6='Peta CPL'!$A$15,'Bobot CPMK'!$P$6,0),IF('Bobot CPMK'!$B$7='Peta CPL'!$A$15,'Bobot CPMK'!$P$7,0),IF('Bobot CPMK'!$B$8='Peta CPL'!$A$15,'Bobot CPMK'!$P$8,0),IF('Bobot CPMK'!$B$9='Peta CPL'!$A$15,'Bobot CPMK'!$P$9,0),IF('Bobot CPMK'!$B$10='Peta CPL'!$A$15,'Bobot CPMK'!$P$10,0),IF('Bobot CPMK'!$B$11='Peta CPL'!$A$15,'Bobot CPMK'!$P$11,0)),""))</f>
        <v/>
      </c>
      <c r="N6" s="7">
        <f>IF(OR($B6="",'Peta CPL'!$A$16=""),"",IFERROR(SUM(IF('Bobot CPMK'!$B$4='Peta CPL'!$A$16,N(D6)*'Bobot CPMK'!$P$4,0),IF('Bobot CPMK'!$B$5='Peta CPL'!$A$16,N(E6)*'Bobot CPMK'!$P$5,0),IF('Bobot CPMK'!$B$6='Peta CPL'!$A$16,N(F6)*'Bobot CPMK'!$P$6,0),IF('Bobot CPMK'!$B$7='Peta CPL'!$A$16,N(G6)*'Bobot CPMK'!$P$7,0),IF('Bobot CPMK'!$B$8='Peta CPL'!$A$16,N(H6)*'Bobot CPMK'!$P$8,0),IF('Bobot CPMK'!$B$9='Peta CPL'!$A$16,N(I6)*'Bobot CPMK'!$P$9,0),IF('Bobot CPMK'!$B$10='Peta CPL'!$A$16,N(J6)*'Bobot CPMK'!$P$10,0),IF('Bobot CPMK'!$B$11='Peta CPL'!$A$16,N(K6)*'Bobot CPMK'!$P$11,0))/SUM(IF('Bobot CPMK'!$B$4='Peta CPL'!$A$16,'Bobot CPMK'!$P$4,0),IF('Bobot CPMK'!$B$5='Peta CPL'!$A$16,'Bobot CPMK'!$P$5,0),IF('Bobot CPMK'!$B$6='Peta CPL'!$A$16,'Bobot CPMK'!$P$6,0),IF('Bobot CPMK'!$B$7='Peta CPL'!$A$16,'Bobot CPMK'!$P$7,0),IF('Bobot CPMK'!$B$8='Peta CPL'!$A$16,'Bobot CPMK'!$P$8,0),IF('Bobot CPMK'!$B$9='Peta CPL'!$A$16,'Bobot CPMK'!$P$9,0),IF('Bobot CPMK'!$B$10='Peta CPL'!$A$16,'Bobot CPMK'!$P$10,0),IF('Bobot CPMK'!$B$11='Peta CPL'!$A$16,'Bobot CPMK'!$P$11,0)),""))</f>
        <v/>
      </c>
      <c r="O6" s="7">
        <f>IF(OR($B6="",'Peta CPL'!$A$17=""),"",IFERROR(SUM(IF('Bobot CPMK'!$B$4='Peta CPL'!$A$17,N(D6)*'Bobot CPMK'!$P$4,0),IF('Bobot CPMK'!$B$5='Peta CPL'!$A$17,N(E6)*'Bobot CPMK'!$P$5,0),IF('Bobot CPMK'!$B$6='Peta CPL'!$A$17,N(F6)*'Bobot CPMK'!$P$6,0),IF('Bobot CPMK'!$B$7='Peta CPL'!$A$17,N(G6)*'Bobot CPMK'!$P$7,0),IF('Bobot CPMK'!$B$8='Peta CPL'!$A$17,N(H6)*'Bobot CPMK'!$P$8,0),IF('Bobot CPMK'!$B$9='Peta CPL'!$A$17,N(I6)*'Bobot CPMK'!$P$9,0),IF('Bobot CPMK'!$B$10='Peta CPL'!$A$17,N(J6)*'Bobot CPMK'!$P$10,0),IF('Bobot CPMK'!$B$11='Peta CPL'!$A$17,N(K6)*'Bobot CPMK'!$P$11,0))/SUM(IF('Bobot CPMK'!$B$4='Peta CPL'!$A$17,'Bobot CPMK'!$P$4,0),IF('Bobot CPMK'!$B$5='Peta CPL'!$A$17,'Bobot CPMK'!$P$5,0),IF('Bobot CPMK'!$B$6='Peta CPL'!$A$17,'Bobot CPMK'!$P$6,0),IF('Bobot CPMK'!$B$7='Peta CPL'!$A$17,'Bobot CPMK'!$P$7,0),IF('Bobot CPMK'!$B$8='Peta CPL'!$A$17,'Bobot CPMK'!$P$8,0),IF('Bobot CPMK'!$B$9='Peta CPL'!$A$17,'Bobot CPMK'!$P$9,0),IF('Bobot CPMK'!$B$10='Peta CPL'!$A$17,'Bobot CPMK'!$P$10,0),IF('Bobot CPMK'!$B$11='Peta CPL'!$A$17,'Bobot CPMK'!$P$11,0)),""))</f>
        <v/>
      </c>
      <c r="P6" s="7">
        <f>IF(OR($B6="",'Peta CPL'!$A$18=""),"",IFERROR(SUM(IF('Bobot CPMK'!$B$4='Peta CPL'!$A$18,N(D6)*'Bobot CPMK'!$P$4,0),IF('Bobot CPMK'!$B$5='Peta CPL'!$A$18,N(E6)*'Bobot CPMK'!$P$5,0),IF('Bobot CPMK'!$B$6='Peta CPL'!$A$18,N(F6)*'Bobot CPMK'!$P$6,0),IF('Bobot CPMK'!$B$7='Peta CPL'!$A$18,N(G6)*'Bobot CPMK'!$P$7,0),IF('Bobot CPMK'!$B$8='Peta CPL'!$A$18,N(H6)*'Bobot CPMK'!$P$8,0),IF('Bobot CPMK'!$B$9='Peta CPL'!$A$18,N(I6)*'Bobot CPMK'!$P$9,0),IF('Bobot CPMK'!$B$10='Peta CPL'!$A$18,N(J6)*'Bobot CPMK'!$P$10,0),IF('Bobot CPMK'!$B$11='Peta CPL'!$A$18,N(K6)*'Bobot CPMK'!$P$11,0))/SUM(IF('Bobot CPMK'!$B$4='Peta CPL'!$A$18,'Bobot CPMK'!$P$4,0),IF('Bobot CPMK'!$B$5='Peta CPL'!$A$18,'Bobot CPMK'!$P$5,0),IF('Bobot CPMK'!$B$6='Peta CPL'!$A$18,'Bobot CPMK'!$P$6,0),IF('Bobot CPMK'!$B$7='Peta CPL'!$A$18,'Bobot CPMK'!$P$7,0),IF('Bobot CPMK'!$B$8='Peta CPL'!$A$18,'Bobot CPMK'!$P$8,0),IF('Bobot CPMK'!$B$9='Peta CPL'!$A$18,'Bobot CPMK'!$P$9,0),IF('Bobot CPMK'!$B$10='Peta CPL'!$A$18,'Bobot CPMK'!$P$10,0),IF('Bobot CPMK'!$B$11='Peta CPL'!$A$18,'Bobot CPMK'!$P$11,0)),""))</f>
        <v/>
      </c>
      <c r="Q6" s="7">
        <f>IF(OR($B6="",'Peta CPL'!$A$19=""),"",IFERROR(SUM(IF('Bobot CPMK'!$B$4='Peta CPL'!$A$19,N(D6)*'Bobot CPMK'!$P$4,0),IF('Bobot CPMK'!$B$5='Peta CPL'!$A$19,N(E6)*'Bobot CPMK'!$P$5,0),IF('Bobot CPMK'!$B$6='Peta CPL'!$A$19,N(F6)*'Bobot CPMK'!$P$6,0),IF('Bobot CPMK'!$B$7='Peta CPL'!$A$19,N(G6)*'Bobot CPMK'!$P$7,0),IF('Bobot CPMK'!$B$8='Peta CPL'!$A$19,N(H6)*'Bobot CPMK'!$P$8,0),IF('Bobot CPMK'!$B$9='Peta CPL'!$A$19,N(I6)*'Bobot CPMK'!$P$9,0),IF('Bobot CPMK'!$B$10='Peta CPL'!$A$19,N(J6)*'Bobot CPMK'!$P$10,0),IF('Bobot CPMK'!$B$11='Peta CPL'!$A$19,N(K6)*'Bobot CPMK'!$P$11,0))/SUM(IF('Bobot CPMK'!$B$4='Peta CPL'!$A$19,'Bobot CPMK'!$P$4,0),IF('Bobot CPMK'!$B$5='Peta CPL'!$A$19,'Bobot CPMK'!$P$5,0),IF('Bobot CPMK'!$B$6='Peta CPL'!$A$19,'Bobot CPMK'!$P$6,0),IF('Bobot CPMK'!$B$7='Peta CPL'!$A$19,'Bobot CPMK'!$P$7,0),IF('Bobot CPMK'!$B$8='Peta CPL'!$A$19,'Bobot CPMK'!$P$8,0),IF('Bobot CPMK'!$B$9='Peta CPL'!$A$19,'Bobot CPMK'!$P$9,0),IF('Bobot CPMK'!$B$10='Peta CPL'!$A$19,'Bobot CPMK'!$P$10,0),IF('Bobot CPMK'!$B$11='Peta CPL'!$A$19,'Bobot CPMK'!$P$11,0)),""))</f>
        <v/>
      </c>
      <c r="R6" s="7">
        <f>IF(OR($B6="",'Peta CPL'!$A$20=""),"",IFERROR(SUM(IF('Bobot CPMK'!$B$4='Peta CPL'!$A$20,N(D6)*'Bobot CPMK'!$P$4,0),IF('Bobot CPMK'!$B$5='Peta CPL'!$A$20,N(E6)*'Bobot CPMK'!$P$5,0),IF('Bobot CPMK'!$B$6='Peta CPL'!$A$20,N(F6)*'Bobot CPMK'!$P$6,0),IF('Bobot CPMK'!$B$7='Peta CPL'!$A$20,N(G6)*'Bobot CPMK'!$P$7,0),IF('Bobot CPMK'!$B$8='Peta CPL'!$A$20,N(H6)*'Bobot CPMK'!$P$8,0),IF('Bobot CPMK'!$B$9='Peta CPL'!$A$20,N(I6)*'Bobot CPMK'!$P$9,0),IF('Bobot CPMK'!$B$10='Peta CPL'!$A$20,N(J6)*'Bobot CPMK'!$P$10,0),IF('Bobot CPMK'!$B$11='Peta CPL'!$A$20,N(K6)*'Bobot CPMK'!$P$11,0))/SUM(IF('Bobot CPMK'!$B$4='Peta CPL'!$A$20,'Bobot CPMK'!$P$4,0),IF('Bobot CPMK'!$B$5='Peta CPL'!$A$20,'Bobot CPMK'!$P$5,0),IF('Bobot CPMK'!$B$6='Peta CPL'!$A$20,'Bobot CPMK'!$P$6,0),IF('Bobot CPMK'!$B$7='Peta CPL'!$A$20,'Bobot CPMK'!$P$7,0),IF('Bobot CPMK'!$B$8='Peta CPL'!$A$20,'Bobot CPMK'!$P$8,0),IF('Bobot CPMK'!$B$9='Peta CPL'!$A$20,'Bobot CPMK'!$P$9,0),IF('Bobot CPMK'!$B$10='Peta CPL'!$A$20,'Bobot CPMK'!$P$10,0),IF('Bobot CPMK'!$B$11='Peta CPL'!$A$20,'Bobot CPMK'!$P$11,0)),""))</f>
        <v/>
      </c>
      <c r="S6" s="7">
        <f>IF(OR($B6="",'Peta CPL'!$A$21=""),"",IFERROR(SUM(IF('Bobot CPMK'!$B$4='Peta CPL'!$A$21,N(D6)*'Bobot CPMK'!$P$4,0),IF('Bobot CPMK'!$B$5='Peta CPL'!$A$21,N(E6)*'Bobot CPMK'!$P$5,0),IF('Bobot CPMK'!$B$6='Peta CPL'!$A$21,N(F6)*'Bobot CPMK'!$P$6,0),IF('Bobot CPMK'!$B$7='Peta CPL'!$A$21,N(G6)*'Bobot CPMK'!$P$7,0),IF('Bobot CPMK'!$B$8='Peta CPL'!$A$21,N(H6)*'Bobot CPMK'!$P$8,0),IF('Bobot CPMK'!$B$9='Peta CPL'!$A$21,N(I6)*'Bobot CPMK'!$P$9,0),IF('Bobot CPMK'!$B$10='Peta CPL'!$A$21,N(J6)*'Bobot CPMK'!$P$10,0),IF('Bobot CPMK'!$B$11='Peta CPL'!$A$21,N(K6)*'Bobot CPMK'!$P$11,0))/SUM(IF('Bobot CPMK'!$B$4='Peta CPL'!$A$21,'Bobot CPMK'!$P$4,0),IF('Bobot CPMK'!$B$5='Peta CPL'!$A$21,'Bobot CPMK'!$P$5,0),IF('Bobot CPMK'!$B$6='Peta CPL'!$A$21,'Bobot CPMK'!$P$6,0),IF('Bobot CPMK'!$B$7='Peta CPL'!$A$21,'Bobot CPMK'!$P$7,0),IF('Bobot CPMK'!$B$8='Peta CPL'!$A$21,'Bobot CPMK'!$P$8,0),IF('Bobot CPMK'!$B$9='Peta CPL'!$A$21,'Bobot CPMK'!$P$9,0),IF('Bobot CPMK'!$B$10='Peta CPL'!$A$21,'Bobot CPMK'!$P$10,0),IF('Bobot CPMK'!$B$11='Peta CPL'!$A$21,'Bobot CPMK'!$P$11,0)),""))</f>
        <v/>
      </c>
      <c r="T6" s="7">
        <f>IF(OR($B6="",'Peta CPL'!$A$5=""),"",IFERROR((N(L6)*N('Peta CPL'!$C$14)*N('Peta CPL'!$D$14)+N(M6)*N('Peta CPL'!$C$15)*N('Peta CPL'!$D$15)+N(N6)*N('Peta CPL'!$C$16)*N('Peta CPL'!$D$16)+N(O6)*N('Peta CPL'!$C$17)*N('Peta CPL'!$D$17)+N(P6)*N('Peta CPL'!$C$18)*N('Peta CPL'!$D$18)+N(Q6)*N('Peta CPL'!$C$19)*N('Peta CPL'!$D$19)+N(R6)*N('Peta CPL'!$C$20)*N('Peta CPL'!$D$20)+N(S6)*N('Peta CPL'!$C$21)*N('Peta CPL'!$D$21))/(N('Peta CPL'!$C$14)*N('Peta CPL'!$D$14)+N('Peta CPL'!$C$15)*N('Peta CPL'!$D$15)+N('Peta CPL'!$C$16)*N('Peta CPL'!$D$16)+N('Peta CPL'!$C$17)*N('Peta CPL'!$D$17)+N('Peta CPL'!$C$18)*N('Peta CPL'!$D$18)+N('Peta CPL'!$C$19)*N('Peta CPL'!$D$19)+N('Peta CPL'!$C$20)*N('Peta CPL'!$D$20)+N('Peta CPL'!$C$21)*N('Peta CPL'!$D$21)),""))</f>
        <v/>
      </c>
      <c r="U6" s="7">
        <f>IF(OR($B6="",'Peta CPL'!$A$6=""),"",IFERROR((N(L6)*N('Peta CPL'!$C$14)*N('Peta CPL'!$E$14)+N(M6)*N('Peta CPL'!$C$15)*N('Peta CPL'!$E$15)+N(N6)*N('Peta CPL'!$C$16)*N('Peta CPL'!$E$16)+N(O6)*N('Peta CPL'!$C$17)*N('Peta CPL'!$E$17)+N(P6)*N('Peta CPL'!$C$18)*N('Peta CPL'!$E$18)+N(Q6)*N('Peta CPL'!$C$19)*N('Peta CPL'!$E$19)+N(R6)*N('Peta CPL'!$C$20)*N('Peta CPL'!$E$20)+N(S6)*N('Peta CPL'!$C$21)*N('Peta CPL'!$E$21))/(N('Peta CPL'!$C$14)*N('Peta CPL'!$E$14)+N('Peta CPL'!$C$15)*N('Peta CPL'!$E$15)+N('Peta CPL'!$C$16)*N('Peta CPL'!$E$16)+N('Peta CPL'!$C$17)*N('Peta CPL'!$E$17)+N('Peta CPL'!$C$18)*N('Peta CPL'!$E$18)+N('Peta CPL'!$C$19)*N('Peta CPL'!$E$19)+N('Peta CPL'!$C$20)*N('Peta CPL'!$E$20)+N('Peta CPL'!$C$21)*N('Peta CPL'!$E$21)),""))</f>
        <v/>
      </c>
      <c r="V6" s="7">
        <f>IF(OR($B6="",'Peta CPL'!$A$7=""),"",IFERROR((N(L6)*N('Peta CPL'!$C$14)*N('Peta CPL'!$F$14)+N(M6)*N('Peta CPL'!$C$15)*N('Peta CPL'!$F$15)+N(N6)*N('Peta CPL'!$C$16)*N('Peta CPL'!$F$16)+N(O6)*N('Peta CPL'!$C$17)*N('Peta CPL'!$F$17)+N(P6)*N('Peta CPL'!$C$18)*N('Peta CPL'!$F$18)+N(Q6)*N('Peta CPL'!$C$19)*N('Peta CPL'!$F$19)+N(R6)*N('Peta CPL'!$C$20)*N('Peta CPL'!$F$20)+N(S6)*N('Peta CPL'!$C$21)*N('Peta CPL'!$F$21))/(N('Peta CPL'!$C$14)*N('Peta CPL'!$F$14)+N('Peta CPL'!$C$15)*N('Peta CPL'!$F$15)+N('Peta CPL'!$C$16)*N('Peta CPL'!$F$16)+N('Peta CPL'!$C$17)*N('Peta CPL'!$F$17)+N('Peta CPL'!$C$18)*N('Peta CPL'!$F$18)+N('Peta CPL'!$C$19)*N('Peta CPL'!$F$19)+N('Peta CPL'!$C$20)*N('Peta CPL'!$F$20)+N('Peta CPL'!$C$21)*N('Peta CPL'!$F$21)),""))</f>
        <v/>
      </c>
      <c r="W6" s="7">
        <f>IF(OR($B6="",'Peta CPL'!$A$8=""),"",IFERROR((N(L6)*N('Peta CPL'!$C$14)*N('Peta CPL'!$G$14)+N(M6)*N('Peta CPL'!$C$15)*N('Peta CPL'!$G$15)+N(N6)*N('Peta CPL'!$C$16)*N('Peta CPL'!$G$16)+N(O6)*N('Peta CPL'!$C$17)*N('Peta CPL'!$G$17)+N(P6)*N('Peta CPL'!$C$18)*N('Peta CPL'!$G$18)+N(Q6)*N('Peta CPL'!$C$19)*N('Peta CPL'!$G$19)+N(R6)*N('Peta CPL'!$C$20)*N('Peta CPL'!$G$20)+N(S6)*N('Peta CPL'!$C$21)*N('Peta CPL'!$G$21))/(N('Peta CPL'!$C$14)*N('Peta CPL'!$G$14)+N('Peta CPL'!$C$15)*N('Peta CPL'!$G$15)+N('Peta CPL'!$C$16)*N('Peta CPL'!$G$16)+N('Peta CPL'!$C$17)*N('Peta CPL'!$G$17)+N('Peta CPL'!$C$18)*N('Peta CPL'!$G$18)+N('Peta CPL'!$C$19)*N('Peta CPL'!$G$19)+N('Peta CPL'!$C$20)*N('Peta CPL'!$G$20)+N('Peta CPL'!$C$21)*N('Peta CPL'!$G$21)),""))</f>
        <v/>
      </c>
      <c r="X6" s="7">
        <f>IF(OR($B6="",'Peta CPL'!$A$9=""),"",IFERROR((N(L6)*N('Peta CPL'!$C$14)*N('Peta CPL'!$H$14)+N(M6)*N('Peta CPL'!$C$15)*N('Peta CPL'!$H$15)+N(N6)*N('Peta CPL'!$C$16)*N('Peta CPL'!$H$16)+N(O6)*N('Peta CPL'!$C$17)*N('Peta CPL'!$H$17)+N(P6)*N('Peta CPL'!$C$18)*N('Peta CPL'!$H$18)+N(Q6)*N('Peta CPL'!$C$19)*N('Peta CPL'!$H$19)+N(R6)*N('Peta CPL'!$C$20)*N('Peta CPL'!$H$20)+N(S6)*N('Peta CPL'!$C$21)*N('Peta CPL'!$H$21))/(N('Peta CPL'!$C$14)*N('Peta CPL'!$H$14)+N('Peta CPL'!$C$15)*N('Peta CPL'!$H$15)+N('Peta CPL'!$C$16)*N('Peta CPL'!$H$16)+N('Peta CPL'!$C$17)*N('Peta CPL'!$H$17)+N('Peta CPL'!$C$18)*N('Peta CPL'!$H$18)+N('Peta CPL'!$C$19)*N('Peta CPL'!$H$19)+N('Peta CPL'!$C$20)*N('Peta CPL'!$H$20)+N('Peta CPL'!$C$21)*N('Peta CPL'!$H$21)),""))</f>
        <v/>
      </c>
      <c r="Y6" s="7">
        <f>IF(OR($B6="",'Peta CPL'!$A$10=""),"",IFERROR((N(L6)*N('Peta CPL'!$C$14)*N('Peta CPL'!$I$14)+N(M6)*N('Peta CPL'!$C$15)*N('Peta CPL'!$I$15)+N(N6)*N('Peta CPL'!$C$16)*N('Peta CPL'!$I$16)+N(O6)*N('Peta CPL'!$C$17)*N('Peta CPL'!$I$17)+N(P6)*N('Peta CPL'!$C$18)*N('Peta CPL'!$I$18)+N(Q6)*N('Peta CPL'!$C$19)*N('Peta CPL'!$I$19)+N(R6)*N('Peta CPL'!$C$20)*N('Peta CPL'!$I$20)+N(S6)*N('Peta CPL'!$C$21)*N('Peta CPL'!$I$21))/(N('Peta CPL'!$C$14)*N('Peta CPL'!$I$14)+N('Peta CPL'!$C$15)*N('Peta CPL'!$I$15)+N('Peta CPL'!$C$16)*N('Peta CPL'!$I$16)+N('Peta CPL'!$C$17)*N('Peta CPL'!$I$17)+N('Peta CPL'!$C$18)*N('Peta CPL'!$I$18)+N('Peta CPL'!$C$19)*N('Peta CPL'!$I$19)+N('Peta CPL'!$C$20)*N('Peta CPL'!$I$20)+N('Peta CPL'!$C$21)*N('Peta CPL'!$I$21)),""))</f>
        <v/>
      </c>
      <c r="Z6" s="7">
        <f>IF($B6="","",IFERROR((N(L6)*N('Peta CPL'!$C$14)+N(M6)*N('Peta CPL'!$C$15)+N(N6)*N('Peta CPL'!$C$16)+N(O6)*N('Peta CPL'!$C$17)+N(P6)*N('Peta CPL'!$C$18)+N(Q6)*N('Peta CPL'!$C$19)+N(R6)*N('Peta CPL'!$C$20)+N(S6)*N('Peta CPL'!$C$21))/100,""))</f>
        <v/>
      </c>
    </row>
    <row r="7">
      <c r="A7" s="7">
        <f>'Input Nilai'!A7</f>
        <v/>
      </c>
      <c r="B7" s="7">
        <f>'Input Nilai'!B7</f>
        <v/>
      </c>
      <c r="C7" s="15">
        <f>'Input Nilai'!C7</f>
        <v/>
      </c>
      <c r="D7" s="7">
        <f>IF(OR('Input Nilai'!$B7="",'Bobot CPMK'!$O$4=0),"",(SUMPRODUCT('Input Nilai'!D7:L7,'Bobot CPMK'!$E$4:$M$4)+'Input Nilai'!$BX7*'Bobot CPMK'!$N$4)/'Bobot CPMK'!$O$4)</f>
        <v/>
      </c>
      <c r="E7" s="7">
        <f>IF(OR('Input Nilai'!$B7="",'Bobot CPMK'!$O$5=0),"",(SUMPRODUCT('Input Nilai'!M7:U7,'Bobot CPMK'!$E$5:$M$5)+'Input Nilai'!$BX7*'Bobot CPMK'!$N$5)/'Bobot CPMK'!$O$5)</f>
        <v/>
      </c>
      <c r="F7" s="7">
        <f>IF(OR('Input Nilai'!$B7="",'Bobot CPMK'!$O$6=0),"",(SUMPRODUCT('Input Nilai'!V7:AD7,'Bobot CPMK'!$E$6:$M$6)+'Input Nilai'!$BX7*'Bobot CPMK'!$N$6)/'Bobot CPMK'!$O$6)</f>
        <v/>
      </c>
      <c r="G7" s="7">
        <f>IF(OR('Input Nilai'!$B7="",'Bobot CPMK'!$O$7=0),"",(SUMPRODUCT('Input Nilai'!AE7:AM7,'Bobot CPMK'!$E$7:$M$7)+'Input Nilai'!$BX7*'Bobot CPMK'!$N$7)/'Bobot CPMK'!$O$7)</f>
        <v/>
      </c>
      <c r="H7" s="7">
        <f>IF(OR('Input Nilai'!$B7="",'Bobot CPMK'!$O$8=0),"",(SUMPRODUCT('Input Nilai'!AN7:AV7,'Bobot CPMK'!$E$8:$M$8)+'Input Nilai'!$BX7*'Bobot CPMK'!$N$8)/'Bobot CPMK'!$O$8)</f>
        <v/>
      </c>
      <c r="I7" s="7">
        <f>IF(OR('Input Nilai'!$B7="",'Bobot CPMK'!$O$9=0),"",(SUMPRODUCT('Input Nilai'!AW7:BE7,'Bobot CPMK'!$E$9:$M$9)+'Input Nilai'!$BX7*'Bobot CPMK'!$N$9)/'Bobot CPMK'!$O$9)</f>
        <v/>
      </c>
      <c r="J7" s="7">
        <f>IF(OR('Input Nilai'!$B7="",'Bobot CPMK'!$O$10=0),"",(SUMPRODUCT('Input Nilai'!BF7:BN7,'Bobot CPMK'!$E$10:$M$10)+'Input Nilai'!$BX7*'Bobot CPMK'!$N$10)/'Bobot CPMK'!$O$10)</f>
        <v/>
      </c>
      <c r="K7" s="7">
        <f>IF(OR('Input Nilai'!$B7="",'Bobot CPMK'!$O$11=0),"",(SUMPRODUCT('Input Nilai'!BO7:BW7,'Bobot CPMK'!$E$11:$M$11)+'Input Nilai'!$BX7*'Bobot CPMK'!$N$11)/'Bobot CPMK'!$O$11)</f>
        <v/>
      </c>
      <c r="L7" s="7">
        <f>IF(OR($B7="",'Peta CPL'!$A$14=""),"",IFERROR(SUM(IF('Bobot CPMK'!$B$4='Peta CPL'!$A$14,N(D7)*'Bobot CPMK'!$P$4,0),IF('Bobot CPMK'!$B$5='Peta CPL'!$A$14,N(E7)*'Bobot CPMK'!$P$5,0),IF('Bobot CPMK'!$B$6='Peta CPL'!$A$14,N(F7)*'Bobot CPMK'!$P$6,0),IF('Bobot CPMK'!$B$7='Peta CPL'!$A$14,N(G7)*'Bobot CPMK'!$P$7,0),IF('Bobot CPMK'!$B$8='Peta CPL'!$A$14,N(H7)*'Bobot CPMK'!$P$8,0),IF('Bobot CPMK'!$B$9='Peta CPL'!$A$14,N(I7)*'Bobot CPMK'!$P$9,0),IF('Bobot CPMK'!$B$10='Peta CPL'!$A$14,N(J7)*'Bobot CPMK'!$P$10,0),IF('Bobot CPMK'!$B$11='Peta CPL'!$A$14,N(K7)*'Bobot CPMK'!$P$11,0))/SUM(IF('Bobot CPMK'!$B$4='Peta CPL'!$A$14,'Bobot CPMK'!$P$4,0),IF('Bobot CPMK'!$B$5='Peta CPL'!$A$14,'Bobot CPMK'!$P$5,0),IF('Bobot CPMK'!$B$6='Peta CPL'!$A$14,'Bobot CPMK'!$P$6,0),IF('Bobot CPMK'!$B$7='Peta CPL'!$A$14,'Bobot CPMK'!$P$7,0),IF('Bobot CPMK'!$B$8='Peta CPL'!$A$14,'Bobot CPMK'!$P$8,0),IF('Bobot CPMK'!$B$9='Peta CPL'!$A$14,'Bobot CPMK'!$P$9,0),IF('Bobot CPMK'!$B$10='Peta CPL'!$A$14,'Bobot CPMK'!$P$10,0),IF('Bobot CPMK'!$B$11='Peta CPL'!$A$14,'Bobot CPMK'!$P$11,0)),""))</f>
        <v/>
      </c>
      <c r="M7" s="7">
        <f>IF(OR($B7="",'Peta CPL'!$A$15=""),"",IFERROR(SUM(IF('Bobot CPMK'!$B$4='Peta CPL'!$A$15,N(D7)*'Bobot CPMK'!$P$4,0),IF('Bobot CPMK'!$B$5='Peta CPL'!$A$15,N(E7)*'Bobot CPMK'!$P$5,0),IF('Bobot CPMK'!$B$6='Peta CPL'!$A$15,N(F7)*'Bobot CPMK'!$P$6,0),IF('Bobot CPMK'!$B$7='Peta CPL'!$A$15,N(G7)*'Bobot CPMK'!$P$7,0),IF('Bobot CPMK'!$B$8='Peta CPL'!$A$15,N(H7)*'Bobot CPMK'!$P$8,0),IF('Bobot CPMK'!$B$9='Peta CPL'!$A$15,N(I7)*'Bobot CPMK'!$P$9,0),IF('Bobot CPMK'!$B$10='Peta CPL'!$A$15,N(J7)*'Bobot CPMK'!$P$10,0),IF('Bobot CPMK'!$B$11='Peta CPL'!$A$15,N(K7)*'Bobot CPMK'!$P$11,0))/SUM(IF('Bobot CPMK'!$B$4='Peta CPL'!$A$15,'Bobot CPMK'!$P$4,0),IF('Bobot CPMK'!$B$5='Peta CPL'!$A$15,'Bobot CPMK'!$P$5,0),IF('Bobot CPMK'!$B$6='Peta CPL'!$A$15,'Bobot CPMK'!$P$6,0),IF('Bobot CPMK'!$B$7='Peta CPL'!$A$15,'Bobot CPMK'!$P$7,0),IF('Bobot CPMK'!$B$8='Peta CPL'!$A$15,'Bobot CPMK'!$P$8,0),IF('Bobot CPMK'!$B$9='Peta CPL'!$A$15,'Bobot CPMK'!$P$9,0),IF('Bobot CPMK'!$B$10='Peta CPL'!$A$15,'Bobot CPMK'!$P$10,0),IF('Bobot CPMK'!$B$11='Peta CPL'!$A$15,'Bobot CPMK'!$P$11,0)),""))</f>
        <v/>
      </c>
      <c r="N7" s="7">
        <f>IF(OR($B7="",'Peta CPL'!$A$16=""),"",IFERROR(SUM(IF('Bobot CPMK'!$B$4='Peta CPL'!$A$16,N(D7)*'Bobot CPMK'!$P$4,0),IF('Bobot CPMK'!$B$5='Peta CPL'!$A$16,N(E7)*'Bobot CPMK'!$P$5,0),IF('Bobot CPMK'!$B$6='Peta CPL'!$A$16,N(F7)*'Bobot CPMK'!$P$6,0),IF('Bobot CPMK'!$B$7='Peta CPL'!$A$16,N(G7)*'Bobot CPMK'!$P$7,0),IF('Bobot CPMK'!$B$8='Peta CPL'!$A$16,N(H7)*'Bobot CPMK'!$P$8,0),IF('Bobot CPMK'!$B$9='Peta CPL'!$A$16,N(I7)*'Bobot CPMK'!$P$9,0),IF('Bobot CPMK'!$B$10='Peta CPL'!$A$16,N(J7)*'Bobot CPMK'!$P$10,0),IF('Bobot CPMK'!$B$11='Peta CPL'!$A$16,N(K7)*'Bobot CPMK'!$P$11,0))/SUM(IF('Bobot CPMK'!$B$4='Peta CPL'!$A$16,'Bobot CPMK'!$P$4,0),IF('Bobot CPMK'!$B$5='Peta CPL'!$A$16,'Bobot CPMK'!$P$5,0),IF('Bobot CPMK'!$B$6='Peta CPL'!$A$16,'Bobot CPMK'!$P$6,0),IF('Bobot CPMK'!$B$7='Peta CPL'!$A$16,'Bobot CPMK'!$P$7,0),IF('Bobot CPMK'!$B$8='Peta CPL'!$A$16,'Bobot CPMK'!$P$8,0),IF('Bobot CPMK'!$B$9='Peta CPL'!$A$16,'Bobot CPMK'!$P$9,0),IF('Bobot CPMK'!$B$10='Peta CPL'!$A$16,'Bobot CPMK'!$P$10,0),IF('Bobot CPMK'!$B$11='Peta CPL'!$A$16,'Bobot CPMK'!$P$11,0)),""))</f>
        <v/>
      </c>
      <c r="O7" s="7">
        <f>IF(OR($B7="",'Peta CPL'!$A$17=""),"",IFERROR(SUM(IF('Bobot CPMK'!$B$4='Peta CPL'!$A$17,N(D7)*'Bobot CPMK'!$P$4,0),IF('Bobot CPMK'!$B$5='Peta CPL'!$A$17,N(E7)*'Bobot CPMK'!$P$5,0),IF('Bobot CPMK'!$B$6='Peta CPL'!$A$17,N(F7)*'Bobot CPMK'!$P$6,0),IF('Bobot CPMK'!$B$7='Peta CPL'!$A$17,N(G7)*'Bobot CPMK'!$P$7,0),IF('Bobot CPMK'!$B$8='Peta CPL'!$A$17,N(H7)*'Bobot CPMK'!$P$8,0),IF('Bobot CPMK'!$B$9='Peta CPL'!$A$17,N(I7)*'Bobot CPMK'!$P$9,0),IF('Bobot CPMK'!$B$10='Peta CPL'!$A$17,N(J7)*'Bobot CPMK'!$P$10,0),IF('Bobot CPMK'!$B$11='Peta CPL'!$A$17,N(K7)*'Bobot CPMK'!$P$11,0))/SUM(IF('Bobot CPMK'!$B$4='Peta CPL'!$A$17,'Bobot CPMK'!$P$4,0),IF('Bobot CPMK'!$B$5='Peta CPL'!$A$17,'Bobot CPMK'!$P$5,0),IF('Bobot CPMK'!$B$6='Peta CPL'!$A$17,'Bobot CPMK'!$P$6,0),IF('Bobot CPMK'!$B$7='Peta CPL'!$A$17,'Bobot CPMK'!$P$7,0),IF('Bobot CPMK'!$B$8='Peta CPL'!$A$17,'Bobot CPMK'!$P$8,0),IF('Bobot CPMK'!$B$9='Peta CPL'!$A$17,'Bobot CPMK'!$P$9,0),IF('Bobot CPMK'!$B$10='Peta CPL'!$A$17,'Bobot CPMK'!$P$10,0),IF('Bobot CPMK'!$B$11='Peta CPL'!$A$17,'Bobot CPMK'!$P$11,0)),""))</f>
        <v/>
      </c>
      <c r="P7" s="7">
        <f>IF(OR($B7="",'Peta CPL'!$A$18=""),"",IFERROR(SUM(IF('Bobot CPMK'!$B$4='Peta CPL'!$A$18,N(D7)*'Bobot CPMK'!$P$4,0),IF('Bobot CPMK'!$B$5='Peta CPL'!$A$18,N(E7)*'Bobot CPMK'!$P$5,0),IF('Bobot CPMK'!$B$6='Peta CPL'!$A$18,N(F7)*'Bobot CPMK'!$P$6,0),IF('Bobot CPMK'!$B$7='Peta CPL'!$A$18,N(G7)*'Bobot CPMK'!$P$7,0),IF('Bobot CPMK'!$B$8='Peta CPL'!$A$18,N(H7)*'Bobot CPMK'!$P$8,0),IF('Bobot CPMK'!$B$9='Peta CPL'!$A$18,N(I7)*'Bobot CPMK'!$P$9,0),IF('Bobot CPMK'!$B$10='Peta CPL'!$A$18,N(J7)*'Bobot CPMK'!$P$10,0),IF('Bobot CPMK'!$B$11='Peta CPL'!$A$18,N(K7)*'Bobot CPMK'!$P$11,0))/SUM(IF('Bobot CPMK'!$B$4='Peta CPL'!$A$18,'Bobot CPMK'!$P$4,0),IF('Bobot CPMK'!$B$5='Peta CPL'!$A$18,'Bobot CPMK'!$P$5,0),IF('Bobot CPMK'!$B$6='Peta CPL'!$A$18,'Bobot CPMK'!$P$6,0),IF('Bobot CPMK'!$B$7='Peta CPL'!$A$18,'Bobot CPMK'!$P$7,0),IF('Bobot CPMK'!$B$8='Peta CPL'!$A$18,'Bobot CPMK'!$P$8,0),IF('Bobot CPMK'!$B$9='Peta CPL'!$A$18,'Bobot CPMK'!$P$9,0),IF('Bobot CPMK'!$B$10='Peta CPL'!$A$18,'Bobot CPMK'!$P$10,0),IF('Bobot CPMK'!$B$11='Peta CPL'!$A$18,'Bobot CPMK'!$P$11,0)),""))</f>
        <v/>
      </c>
      <c r="Q7" s="7">
        <f>IF(OR($B7="",'Peta CPL'!$A$19=""),"",IFERROR(SUM(IF('Bobot CPMK'!$B$4='Peta CPL'!$A$19,N(D7)*'Bobot CPMK'!$P$4,0),IF('Bobot CPMK'!$B$5='Peta CPL'!$A$19,N(E7)*'Bobot CPMK'!$P$5,0),IF('Bobot CPMK'!$B$6='Peta CPL'!$A$19,N(F7)*'Bobot CPMK'!$P$6,0),IF('Bobot CPMK'!$B$7='Peta CPL'!$A$19,N(G7)*'Bobot CPMK'!$P$7,0),IF('Bobot CPMK'!$B$8='Peta CPL'!$A$19,N(H7)*'Bobot CPMK'!$P$8,0),IF('Bobot CPMK'!$B$9='Peta CPL'!$A$19,N(I7)*'Bobot CPMK'!$P$9,0),IF('Bobot CPMK'!$B$10='Peta CPL'!$A$19,N(J7)*'Bobot CPMK'!$P$10,0),IF('Bobot CPMK'!$B$11='Peta CPL'!$A$19,N(K7)*'Bobot CPMK'!$P$11,0))/SUM(IF('Bobot CPMK'!$B$4='Peta CPL'!$A$19,'Bobot CPMK'!$P$4,0),IF('Bobot CPMK'!$B$5='Peta CPL'!$A$19,'Bobot CPMK'!$P$5,0),IF('Bobot CPMK'!$B$6='Peta CPL'!$A$19,'Bobot CPMK'!$P$6,0),IF('Bobot CPMK'!$B$7='Peta CPL'!$A$19,'Bobot CPMK'!$P$7,0),IF('Bobot CPMK'!$B$8='Peta CPL'!$A$19,'Bobot CPMK'!$P$8,0),IF('Bobot CPMK'!$B$9='Peta CPL'!$A$19,'Bobot CPMK'!$P$9,0),IF('Bobot CPMK'!$B$10='Peta CPL'!$A$19,'Bobot CPMK'!$P$10,0),IF('Bobot CPMK'!$B$11='Peta CPL'!$A$19,'Bobot CPMK'!$P$11,0)),""))</f>
        <v/>
      </c>
      <c r="R7" s="7">
        <f>IF(OR($B7="",'Peta CPL'!$A$20=""),"",IFERROR(SUM(IF('Bobot CPMK'!$B$4='Peta CPL'!$A$20,N(D7)*'Bobot CPMK'!$P$4,0),IF('Bobot CPMK'!$B$5='Peta CPL'!$A$20,N(E7)*'Bobot CPMK'!$P$5,0),IF('Bobot CPMK'!$B$6='Peta CPL'!$A$20,N(F7)*'Bobot CPMK'!$P$6,0),IF('Bobot CPMK'!$B$7='Peta CPL'!$A$20,N(G7)*'Bobot CPMK'!$P$7,0),IF('Bobot CPMK'!$B$8='Peta CPL'!$A$20,N(H7)*'Bobot CPMK'!$P$8,0),IF('Bobot CPMK'!$B$9='Peta CPL'!$A$20,N(I7)*'Bobot CPMK'!$P$9,0),IF('Bobot CPMK'!$B$10='Peta CPL'!$A$20,N(J7)*'Bobot CPMK'!$P$10,0),IF('Bobot CPMK'!$B$11='Peta CPL'!$A$20,N(K7)*'Bobot CPMK'!$P$11,0))/SUM(IF('Bobot CPMK'!$B$4='Peta CPL'!$A$20,'Bobot CPMK'!$P$4,0),IF('Bobot CPMK'!$B$5='Peta CPL'!$A$20,'Bobot CPMK'!$P$5,0),IF('Bobot CPMK'!$B$6='Peta CPL'!$A$20,'Bobot CPMK'!$P$6,0),IF('Bobot CPMK'!$B$7='Peta CPL'!$A$20,'Bobot CPMK'!$P$7,0),IF('Bobot CPMK'!$B$8='Peta CPL'!$A$20,'Bobot CPMK'!$P$8,0),IF('Bobot CPMK'!$B$9='Peta CPL'!$A$20,'Bobot CPMK'!$P$9,0),IF('Bobot CPMK'!$B$10='Peta CPL'!$A$20,'Bobot CPMK'!$P$10,0),IF('Bobot CPMK'!$B$11='Peta CPL'!$A$20,'Bobot CPMK'!$P$11,0)),""))</f>
        <v/>
      </c>
      <c r="S7" s="7">
        <f>IF(OR($B7="",'Peta CPL'!$A$21=""),"",IFERROR(SUM(IF('Bobot CPMK'!$B$4='Peta CPL'!$A$21,N(D7)*'Bobot CPMK'!$P$4,0),IF('Bobot CPMK'!$B$5='Peta CPL'!$A$21,N(E7)*'Bobot CPMK'!$P$5,0),IF('Bobot CPMK'!$B$6='Peta CPL'!$A$21,N(F7)*'Bobot CPMK'!$P$6,0),IF('Bobot CPMK'!$B$7='Peta CPL'!$A$21,N(G7)*'Bobot CPMK'!$P$7,0),IF('Bobot CPMK'!$B$8='Peta CPL'!$A$21,N(H7)*'Bobot CPMK'!$P$8,0),IF('Bobot CPMK'!$B$9='Peta CPL'!$A$21,N(I7)*'Bobot CPMK'!$P$9,0),IF('Bobot CPMK'!$B$10='Peta CPL'!$A$21,N(J7)*'Bobot CPMK'!$P$10,0),IF('Bobot CPMK'!$B$11='Peta CPL'!$A$21,N(K7)*'Bobot CPMK'!$P$11,0))/SUM(IF('Bobot CPMK'!$B$4='Peta CPL'!$A$21,'Bobot CPMK'!$P$4,0),IF('Bobot CPMK'!$B$5='Peta CPL'!$A$21,'Bobot CPMK'!$P$5,0),IF('Bobot CPMK'!$B$6='Peta CPL'!$A$21,'Bobot CPMK'!$P$6,0),IF('Bobot CPMK'!$B$7='Peta CPL'!$A$21,'Bobot CPMK'!$P$7,0),IF('Bobot CPMK'!$B$8='Peta CPL'!$A$21,'Bobot CPMK'!$P$8,0),IF('Bobot CPMK'!$B$9='Peta CPL'!$A$21,'Bobot CPMK'!$P$9,0),IF('Bobot CPMK'!$B$10='Peta CPL'!$A$21,'Bobot CPMK'!$P$10,0),IF('Bobot CPMK'!$B$11='Peta CPL'!$A$21,'Bobot CPMK'!$P$11,0)),""))</f>
        <v/>
      </c>
      <c r="T7" s="7">
        <f>IF(OR($B7="",'Peta CPL'!$A$5=""),"",IFERROR((N(L7)*N('Peta CPL'!$C$14)*N('Peta CPL'!$D$14)+N(M7)*N('Peta CPL'!$C$15)*N('Peta CPL'!$D$15)+N(N7)*N('Peta CPL'!$C$16)*N('Peta CPL'!$D$16)+N(O7)*N('Peta CPL'!$C$17)*N('Peta CPL'!$D$17)+N(P7)*N('Peta CPL'!$C$18)*N('Peta CPL'!$D$18)+N(Q7)*N('Peta CPL'!$C$19)*N('Peta CPL'!$D$19)+N(R7)*N('Peta CPL'!$C$20)*N('Peta CPL'!$D$20)+N(S7)*N('Peta CPL'!$C$21)*N('Peta CPL'!$D$21))/(N('Peta CPL'!$C$14)*N('Peta CPL'!$D$14)+N('Peta CPL'!$C$15)*N('Peta CPL'!$D$15)+N('Peta CPL'!$C$16)*N('Peta CPL'!$D$16)+N('Peta CPL'!$C$17)*N('Peta CPL'!$D$17)+N('Peta CPL'!$C$18)*N('Peta CPL'!$D$18)+N('Peta CPL'!$C$19)*N('Peta CPL'!$D$19)+N('Peta CPL'!$C$20)*N('Peta CPL'!$D$20)+N('Peta CPL'!$C$21)*N('Peta CPL'!$D$21)),""))</f>
        <v/>
      </c>
      <c r="U7" s="7">
        <f>IF(OR($B7="",'Peta CPL'!$A$6=""),"",IFERROR((N(L7)*N('Peta CPL'!$C$14)*N('Peta CPL'!$E$14)+N(M7)*N('Peta CPL'!$C$15)*N('Peta CPL'!$E$15)+N(N7)*N('Peta CPL'!$C$16)*N('Peta CPL'!$E$16)+N(O7)*N('Peta CPL'!$C$17)*N('Peta CPL'!$E$17)+N(P7)*N('Peta CPL'!$C$18)*N('Peta CPL'!$E$18)+N(Q7)*N('Peta CPL'!$C$19)*N('Peta CPL'!$E$19)+N(R7)*N('Peta CPL'!$C$20)*N('Peta CPL'!$E$20)+N(S7)*N('Peta CPL'!$C$21)*N('Peta CPL'!$E$21))/(N('Peta CPL'!$C$14)*N('Peta CPL'!$E$14)+N('Peta CPL'!$C$15)*N('Peta CPL'!$E$15)+N('Peta CPL'!$C$16)*N('Peta CPL'!$E$16)+N('Peta CPL'!$C$17)*N('Peta CPL'!$E$17)+N('Peta CPL'!$C$18)*N('Peta CPL'!$E$18)+N('Peta CPL'!$C$19)*N('Peta CPL'!$E$19)+N('Peta CPL'!$C$20)*N('Peta CPL'!$E$20)+N('Peta CPL'!$C$21)*N('Peta CPL'!$E$21)),""))</f>
        <v/>
      </c>
      <c r="V7" s="7">
        <f>IF(OR($B7="",'Peta CPL'!$A$7=""),"",IFERROR((N(L7)*N('Peta CPL'!$C$14)*N('Peta CPL'!$F$14)+N(M7)*N('Peta CPL'!$C$15)*N('Peta CPL'!$F$15)+N(N7)*N('Peta CPL'!$C$16)*N('Peta CPL'!$F$16)+N(O7)*N('Peta CPL'!$C$17)*N('Peta CPL'!$F$17)+N(P7)*N('Peta CPL'!$C$18)*N('Peta CPL'!$F$18)+N(Q7)*N('Peta CPL'!$C$19)*N('Peta CPL'!$F$19)+N(R7)*N('Peta CPL'!$C$20)*N('Peta CPL'!$F$20)+N(S7)*N('Peta CPL'!$C$21)*N('Peta CPL'!$F$21))/(N('Peta CPL'!$C$14)*N('Peta CPL'!$F$14)+N('Peta CPL'!$C$15)*N('Peta CPL'!$F$15)+N('Peta CPL'!$C$16)*N('Peta CPL'!$F$16)+N('Peta CPL'!$C$17)*N('Peta CPL'!$F$17)+N('Peta CPL'!$C$18)*N('Peta CPL'!$F$18)+N('Peta CPL'!$C$19)*N('Peta CPL'!$F$19)+N('Peta CPL'!$C$20)*N('Peta CPL'!$F$20)+N('Peta CPL'!$C$21)*N('Peta CPL'!$F$21)),""))</f>
        <v/>
      </c>
      <c r="W7" s="7">
        <f>IF(OR($B7="",'Peta CPL'!$A$8=""),"",IFERROR((N(L7)*N('Peta CPL'!$C$14)*N('Peta CPL'!$G$14)+N(M7)*N('Peta CPL'!$C$15)*N('Peta CPL'!$G$15)+N(N7)*N('Peta CPL'!$C$16)*N('Peta CPL'!$G$16)+N(O7)*N('Peta CPL'!$C$17)*N('Peta CPL'!$G$17)+N(P7)*N('Peta CPL'!$C$18)*N('Peta CPL'!$G$18)+N(Q7)*N('Peta CPL'!$C$19)*N('Peta CPL'!$G$19)+N(R7)*N('Peta CPL'!$C$20)*N('Peta CPL'!$G$20)+N(S7)*N('Peta CPL'!$C$21)*N('Peta CPL'!$G$21))/(N('Peta CPL'!$C$14)*N('Peta CPL'!$G$14)+N('Peta CPL'!$C$15)*N('Peta CPL'!$G$15)+N('Peta CPL'!$C$16)*N('Peta CPL'!$G$16)+N('Peta CPL'!$C$17)*N('Peta CPL'!$G$17)+N('Peta CPL'!$C$18)*N('Peta CPL'!$G$18)+N('Peta CPL'!$C$19)*N('Peta CPL'!$G$19)+N('Peta CPL'!$C$20)*N('Peta CPL'!$G$20)+N('Peta CPL'!$C$21)*N('Peta CPL'!$G$21)),""))</f>
        <v/>
      </c>
      <c r="X7" s="7">
        <f>IF(OR($B7="",'Peta CPL'!$A$9=""),"",IFERROR((N(L7)*N('Peta CPL'!$C$14)*N('Peta CPL'!$H$14)+N(M7)*N('Peta CPL'!$C$15)*N('Peta CPL'!$H$15)+N(N7)*N('Peta CPL'!$C$16)*N('Peta CPL'!$H$16)+N(O7)*N('Peta CPL'!$C$17)*N('Peta CPL'!$H$17)+N(P7)*N('Peta CPL'!$C$18)*N('Peta CPL'!$H$18)+N(Q7)*N('Peta CPL'!$C$19)*N('Peta CPL'!$H$19)+N(R7)*N('Peta CPL'!$C$20)*N('Peta CPL'!$H$20)+N(S7)*N('Peta CPL'!$C$21)*N('Peta CPL'!$H$21))/(N('Peta CPL'!$C$14)*N('Peta CPL'!$H$14)+N('Peta CPL'!$C$15)*N('Peta CPL'!$H$15)+N('Peta CPL'!$C$16)*N('Peta CPL'!$H$16)+N('Peta CPL'!$C$17)*N('Peta CPL'!$H$17)+N('Peta CPL'!$C$18)*N('Peta CPL'!$H$18)+N('Peta CPL'!$C$19)*N('Peta CPL'!$H$19)+N('Peta CPL'!$C$20)*N('Peta CPL'!$H$20)+N('Peta CPL'!$C$21)*N('Peta CPL'!$H$21)),""))</f>
        <v/>
      </c>
      <c r="Y7" s="7">
        <f>IF(OR($B7="",'Peta CPL'!$A$10=""),"",IFERROR((N(L7)*N('Peta CPL'!$C$14)*N('Peta CPL'!$I$14)+N(M7)*N('Peta CPL'!$C$15)*N('Peta CPL'!$I$15)+N(N7)*N('Peta CPL'!$C$16)*N('Peta CPL'!$I$16)+N(O7)*N('Peta CPL'!$C$17)*N('Peta CPL'!$I$17)+N(P7)*N('Peta CPL'!$C$18)*N('Peta CPL'!$I$18)+N(Q7)*N('Peta CPL'!$C$19)*N('Peta CPL'!$I$19)+N(R7)*N('Peta CPL'!$C$20)*N('Peta CPL'!$I$20)+N(S7)*N('Peta CPL'!$C$21)*N('Peta CPL'!$I$21))/(N('Peta CPL'!$C$14)*N('Peta CPL'!$I$14)+N('Peta CPL'!$C$15)*N('Peta CPL'!$I$15)+N('Peta CPL'!$C$16)*N('Peta CPL'!$I$16)+N('Peta CPL'!$C$17)*N('Peta CPL'!$I$17)+N('Peta CPL'!$C$18)*N('Peta CPL'!$I$18)+N('Peta CPL'!$C$19)*N('Peta CPL'!$I$19)+N('Peta CPL'!$C$20)*N('Peta CPL'!$I$20)+N('Peta CPL'!$C$21)*N('Peta CPL'!$I$21)),""))</f>
        <v/>
      </c>
      <c r="Z7" s="7">
        <f>IF($B7="","",IFERROR((N(L7)*N('Peta CPL'!$C$14)+N(M7)*N('Peta CPL'!$C$15)+N(N7)*N('Peta CPL'!$C$16)+N(O7)*N('Peta CPL'!$C$17)+N(P7)*N('Peta CPL'!$C$18)+N(Q7)*N('Peta CPL'!$C$19)+N(R7)*N('Peta CPL'!$C$20)+N(S7)*N('Peta CPL'!$C$21))/100,""))</f>
        <v/>
      </c>
    </row>
    <row r="8">
      <c r="A8" s="7">
        <f>'Input Nilai'!A8</f>
        <v/>
      </c>
      <c r="B8" s="7">
        <f>'Input Nilai'!B8</f>
        <v/>
      </c>
      <c r="C8" s="15">
        <f>'Input Nilai'!C8</f>
        <v/>
      </c>
      <c r="D8" s="7">
        <f>IF(OR('Input Nilai'!$B8="",'Bobot CPMK'!$O$4=0),"",(SUMPRODUCT('Input Nilai'!D8:L8,'Bobot CPMK'!$E$4:$M$4)+'Input Nilai'!$BX8*'Bobot CPMK'!$N$4)/'Bobot CPMK'!$O$4)</f>
        <v/>
      </c>
      <c r="E8" s="7">
        <f>IF(OR('Input Nilai'!$B8="",'Bobot CPMK'!$O$5=0),"",(SUMPRODUCT('Input Nilai'!M8:U8,'Bobot CPMK'!$E$5:$M$5)+'Input Nilai'!$BX8*'Bobot CPMK'!$N$5)/'Bobot CPMK'!$O$5)</f>
        <v/>
      </c>
      <c r="F8" s="7">
        <f>IF(OR('Input Nilai'!$B8="",'Bobot CPMK'!$O$6=0),"",(SUMPRODUCT('Input Nilai'!V8:AD8,'Bobot CPMK'!$E$6:$M$6)+'Input Nilai'!$BX8*'Bobot CPMK'!$N$6)/'Bobot CPMK'!$O$6)</f>
        <v/>
      </c>
      <c r="G8" s="7">
        <f>IF(OR('Input Nilai'!$B8="",'Bobot CPMK'!$O$7=0),"",(SUMPRODUCT('Input Nilai'!AE8:AM8,'Bobot CPMK'!$E$7:$M$7)+'Input Nilai'!$BX8*'Bobot CPMK'!$N$7)/'Bobot CPMK'!$O$7)</f>
        <v/>
      </c>
      <c r="H8" s="7">
        <f>IF(OR('Input Nilai'!$B8="",'Bobot CPMK'!$O$8=0),"",(SUMPRODUCT('Input Nilai'!AN8:AV8,'Bobot CPMK'!$E$8:$M$8)+'Input Nilai'!$BX8*'Bobot CPMK'!$N$8)/'Bobot CPMK'!$O$8)</f>
        <v/>
      </c>
      <c r="I8" s="7">
        <f>IF(OR('Input Nilai'!$B8="",'Bobot CPMK'!$O$9=0),"",(SUMPRODUCT('Input Nilai'!AW8:BE8,'Bobot CPMK'!$E$9:$M$9)+'Input Nilai'!$BX8*'Bobot CPMK'!$N$9)/'Bobot CPMK'!$O$9)</f>
        <v/>
      </c>
      <c r="J8" s="7">
        <f>IF(OR('Input Nilai'!$B8="",'Bobot CPMK'!$O$10=0),"",(SUMPRODUCT('Input Nilai'!BF8:BN8,'Bobot CPMK'!$E$10:$M$10)+'Input Nilai'!$BX8*'Bobot CPMK'!$N$10)/'Bobot CPMK'!$O$10)</f>
        <v/>
      </c>
      <c r="K8" s="7">
        <f>IF(OR('Input Nilai'!$B8="",'Bobot CPMK'!$O$11=0),"",(SUMPRODUCT('Input Nilai'!BO8:BW8,'Bobot CPMK'!$E$11:$M$11)+'Input Nilai'!$BX8*'Bobot CPMK'!$N$11)/'Bobot CPMK'!$O$11)</f>
        <v/>
      </c>
      <c r="L8" s="7">
        <f>IF(OR($B8="",'Peta CPL'!$A$14=""),"",IFERROR(SUM(IF('Bobot CPMK'!$B$4='Peta CPL'!$A$14,N(D8)*'Bobot CPMK'!$P$4,0),IF('Bobot CPMK'!$B$5='Peta CPL'!$A$14,N(E8)*'Bobot CPMK'!$P$5,0),IF('Bobot CPMK'!$B$6='Peta CPL'!$A$14,N(F8)*'Bobot CPMK'!$P$6,0),IF('Bobot CPMK'!$B$7='Peta CPL'!$A$14,N(G8)*'Bobot CPMK'!$P$7,0),IF('Bobot CPMK'!$B$8='Peta CPL'!$A$14,N(H8)*'Bobot CPMK'!$P$8,0),IF('Bobot CPMK'!$B$9='Peta CPL'!$A$14,N(I8)*'Bobot CPMK'!$P$9,0),IF('Bobot CPMK'!$B$10='Peta CPL'!$A$14,N(J8)*'Bobot CPMK'!$P$10,0),IF('Bobot CPMK'!$B$11='Peta CPL'!$A$14,N(K8)*'Bobot CPMK'!$P$11,0))/SUM(IF('Bobot CPMK'!$B$4='Peta CPL'!$A$14,'Bobot CPMK'!$P$4,0),IF('Bobot CPMK'!$B$5='Peta CPL'!$A$14,'Bobot CPMK'!$P$5,0),IF('Bobot CPMK'!$B$6='Peta CPL'!$A$14,'Bobot CPMK'!$P$6,0),IF('Bobot CPMK'!$B$7='Peta CPL'!$A$14,'Bobot CPMK'!$P$7,0),IF('Bobot CPMK'!$B$8='Peta CPL'!$A$14,'Bobot CPMK'!$P$8,0),IF('Bobot CPMK'!$B$9='Peta CPL'!$A$14,'Bobot CPMK'!$P$9,0),IF('Bobot CPMK'!$B$10='Peta CPL'!$A$14,'Bobot CPMK'!$P$10,0),IF('Bobot CPMK'!$B$11='Peta CPL'!$A$14,'Bobot CPMK'!$P$11,0)),""))</f>
        <v/>
      </c>
      <c r="M8" s="7">
        <f>IF(OR($B8="",'Peta CPL'!$A$15=""),"",IFERROR(SUM(IF('Bobot CPMK'!$B$4='Peta CPL'!$A$15,N(D8)*'Bobot CPMK'!$P$4,0),IF('Bobot CPMK'!$B$5='Peta CPL'!$A$15,N(E8)*'Bobot CPMK'!$P$5,0),IF('Bobot CPMK'!$B$6='Peta CPL'!$A$15,N(F8)*'Bobot CPMK'!$P$6,0),IF('Bobot CPMK'!$B$7='Peta CPL'!$A$15,N(G8)*'Bobot CPMK'!$P$7,0),IF('Bobot CPMK'!$B$8='Peta CPL'!$A$15,N(H8)*'Bobot CPMK'!$P$8,0),IF('Bobot CPMK'!$B$9='Peta CPL'!$A$15,N(I8)*'Bobot CPMK'!$P$9,0),IF('Bobot CPMK'!$B$10='Peta CPL'!$A$15,N(J8)*'Bobot CPMK'!$P$10,0),IF('Bobot CPMK'!$B$11='Peta CPL'!$A$15,N(K8)*'Bobot CPMK'!$P$11,0))/SUM(IF('Bobot CPMK'!$B$4='Peta CPL'!$A$15,'Bobot CPMK'!$P$4,0),IF('Bobot CPMK'!$B$5='Peta CPL'!$A$15,'Bobot CPMK'!$P$5,0),IF('Bobot CPMK'!$B$6='Peta CPL'!$A$15,'Bobot CPMK'!$P$6,0),IF('Bobot CPMK'!$B$7='Peta CPL'!$A$15,'Bobot CPMK'!$P$7,0),IF('Bobot CPMK'!$B$8='Peta CPL'!$A$15,'Bobot CPMK'!$P$8,0),IF('Bobot CPMK'!$B$9='Peta CPL'!$A$15,'Bobot CPMK'!$P$9,0),IF('Bobot CPMK'!$B$10='Peta CPL'!$A$15,'Bobot CPMK'!$P$10,0),IF('Bobot CPMK'!$B$11='Peta CPL'!$A$15,'Bobot CPMK'!$P$11,0)),""))</f>
        <v/>
      </c>
      <c r="N8" s="7">
        <f>IF(OR($B8="",'Peta CPL'!$A$16=""),"",IFERROR(SUM(IF('Bobot CPMK'!$B$4='Peta CPL'!$A$16,N(D8)*'Bobot CPMK'!$P$4,0),IF('Bobot CPMK'!$B$5='Peta CPL'!$A$16,N(E8)*'Bobot CPMK'!$P$5,0),IF('Bobot CPMK'!$B$6='Peta CPL'!$A$16,N(F8)*'Bobot CPMK'!$P$6,0),IF('Bobot CPMK'!$B$7='Peta CPL'!$A$16,N(G8)*'Bobot CPMK'!$P$7,0),IF('Bobot CPMK'!$B$8='Peta CPL'!$A$16,N(H8)*'Bobot CPMK'!$P$8,0),IF('Bobot CPMK'!$B$9='Peta CPL'!$A$16,N(I8)*'Bobot CPMK'!$P$9,0),IF('Bobot CPMK'!$B$10='Peta CPL'!$A$16,N(J8)*'Bobot CPMK'!$P$10,0),IF('Bobot CPMK'!$B$11='Peta CPL'!$A$16,N(K8)*'Bobot CPMK'!$P$11,0))/SUM(IF('Bobot CPMK'!$B$4='Peta CPL'!$A$16,'Bobot CPMK'!$P$4,0),IF('Bobot CPMK'!$B$5='Peta CPL'!$A$16,'Bobot CPMK'!$P$5,0),IF('Bobot CPMK'!$B$6='Peta CPL'!$A$16,'Bobot CPMK'!$P$6,0),IF('Bobot CPMK'!$B$7='Peta CPL'!$A$16,'Bobot CPMK'!$P$7,0),IF('Bobot CPMK'!$B$8='Peta CPL'!$A$16,'Bobot CPMK'!$P$8,0),IF('Bobot CPMK'!$B$9='Peta CPL'!$A$16,'Bobot CPMK'!$P$9,0),IF('Bobot CPMK'!$B$10='Peta CPL'!$A$16,'Bobot CPMK'!$P$10,0),IF('Bobot CPMK'!$B$11='Peta CPL'!$A$16,'Bobot CPMK'!$P$11,0)),""))</f>
        <v/>
      </c>
      <c r="O8" s="7">
        <f>IF(OR($B8="",'Peta CPL'!$A$17=""),"",IFERROR(SUM(IF('Bobot CPMK'!$B$4='Peta CPL'!$A$17,N(D8)*'Bobot CPMK'!$P$4,0),IF('Bobot CPMK'!$B$5='Peta CPL'!$A$17,N(E8)*'Bobot CPMK'!$P$5,0),IF('Bobot CPMK'!$B$6='Peta CPL'!$A$17,N(F8)*'Bobot CPMK'!$P$6,0),IF('Bobot CPMK'!$B$7='Peta CPL'!$A$17,N(G8)*'Bobot CPMK'!$P$7,0),IF('Bobot CPMK'!$B$8='Peta CPL'!$A$17,N(H8)*'Bobot CPMK'!$P$8,0),IF('Bobot CPMK'!$B$9='Peta CPL'!$A$17,N(I8)*'Bobot CPMK'!$P$9,0),IF('Bobot CPMK'!$B$10='Peta CPL'!$A$17,N(J8)*'Bobot CPMK'!$P$10,0),IF('Bobot CPMK'!$B$11='Peta CPL'!$A$17,N(K8)*'Bobot CPMK'!$P$11,0))/SUM(IF('Bobot CPMK'!$B$4='Peta CPL'!$A$17,'Bobot CPMK'!$P$4,0),IF('Bobot CPMK'!$B$5='Peta CPL'!$A$17,'Bobot CPMK'!$P$5,0),IF('Bobot CPMK'!$B$6='Peta CPL'!$A$17,'Bobot CPMK'!$P$6,0),IF('Bobot CPMK'!$B$7='Peta CPL'!$A$17,'Bobot CPMK'!$P$7,0),IF('Bobot CPMK'!$B$8='Peta CPL'!$A$17,'Bobot CPMK'!$P$8,0),IF('Bobot CPMK'!$B$9='Peta CPL'!$A$17,'Bobot CPMK'!$P$9,0),IF('Bobot CPMK'!$B$10='Peta CPL'!$A$17,'Bobot CPMK'!$P$10,0),IF('Bobot CPMK'!$B$11='Peta CPL'!$A$17,'Bobot CPMK'!$P$11,0)),""))</f>
        <v/>
      </c>
      <c r="P8" s="7">
        <f>IF(OR($B8="",'Peta CPL'!$A$18=""),"",IFERROR(SUM(IF('Bobot CPMK'!$B$4='Peta CPL'!$A$18,N(D8)*'Bobot CPMK'!$P$4,0),IF('Bobot CPMK'!$B$5='Peta CPL'!$A$18,N(E8)*'Bobot CPMK'!$P$5,0),IF('Bobot CPMK'!$B$6='Peta CPL'!$A$18,N(F8)*'Bobot CPMK'!$P$6,0),IF('Bobot CPMK'!$B$7='Peta CPL'!$A$18,N(G8)*'Bobot CPMK'!$P$7,0),IF('Bobot CPMK'!$B$8='Peta CPL'!$A$18,N(H8)*'Bobot CPMK'!$P$8,0),IF('Bobot CPMK'!$B$9='Peta CPL'!$A$18,N(I8)*'Bobot CPMK'!$P$9,0),IF('Bobot CPMK'!$B$10='Peta CPL'!$A$18,N(J8)*'Bobot CPMK'!$P$10,0),IF('Bobot CPMK'!$B$11='Peta CPL'!$A$18,N(K8)*'Bobot CPMK'!$P$11,0))/SUM(IF('Bobot CPMK'!$B$4='Peta CPL'!$A$18,'Bobot CPMK'!$P$4,0),IF('Bobot CPMK'!$B$5='Peta CPL'!$A$18,'Bobot CPMK'!$P$5,0),IF('Bobot CPMK'!$B$6='Peta CPL'!$A$18,'Bobot CPMK'!$P$6,0),IF('Bobot CPMK'!$B$7='Peta CPL'!$A$18,'Bobot CPMK'!$P$7,0),IF('Bobot CPMK'!$B$8='Peta CPL'!$A$18,'Bobot CPMK'!$P$8,0),IF('Bobot CPMK'!$B$9='Peta CPL'!$A$18,'Bobot CPMK'!$P$9,0),IF('Bobot CPMK'!$B$10='Peta CPL'!$A$18,'Bobot CPMK'!$P$10,0),IF('Bobot CPMK'!$B$11='Peta CPL'!$A$18,'Bobot CPMK'!$P$11,0)),""))</f>
        <v/>
      </c>
      <c r="Q8" s="7">
        <f>IF(OR($B8="",'Peta CPL'!$A$19=""),"",IFERROR(SUM(IF('Bobot CPMK'!$B$4='Peta CPL'!$A$19,N(D8)*'Bobot CPMK'!$P$4,0),IF('Bobot CPMK'!$B$5='Peta CPL'!$A$19,N(E8)*'Bobot CPMK'!$P$5,0),IF('Bobot CPMK'!$B$6='Peta CPL'!$A$19,N(F8)*'Bobot CPMK'!$P$6,0),IF('Bobot CPMK'!$B$7='Peta CPL'!$A$19,N(G8)*'Bobot CPMK'!$P$7,0),IF('Bobot CPMK'!$B$8='Peta CPL'!$A$19,N(H8)*'Bobot CPMK'!$P$8,0),IF('Bobot CPMK'!$B$9='Peta CPL'!$A$19,N(I8)*'Bobot CPMK'!$P$9,0),IF('Bobot CPMK'!$B$10='Peta CPL'!$A$19,N(J8)*'Bobot CPMK'!$P$10,0),IF('Bobot CPMK'!$B$11='Peta CPL'!$A$19,N(K8)*'Bobot CPMK'!$P$11,0))/SUM(IF('Bobot CPMK'!$B$4='Peta CPL'!$A$19,'Bobot CPMK'!$P$4,0),IF('Bobot CPMK'!$B$5='Peta CPL'!$A$19,'Bobot CPMK'!$P$5,0),IF('Bobot CPMK'!$B$6='Peta CPL'!$A$19,'Bobot CPMK'!$P$6,0),IF('Bobot CPMK'!$B$7='Peta CPL'!$A$19,'Bobot CPMK'!$P$7,0),IF('Bobot CPMK'!$B$8='Peta CPL'!$A$19,'Bobot CPMK'!$P$8,0),IF('Bobot CPMK'!$B$9='Peta CPL'!$A$19,'Bobot CPMK'!$P$9,0),IF('Bobot CPMK'!$B$10='Peta CPL'!$A$19,'Bobot CPMK'!$P$10,0),IF('Bobot CPMK'!$B$11='Peta CPL'!$A$19,'Bobot CPMK'!$P$11,0)),""))</f>
        <v/>
      </c>
      <c r="R8" s="7">
        <f>IF(OR($B8="",'Peta CPL'!$A$20=""),"",IFERROR(SUM(IF('Bobot CPMK'!$B$4='Peta CPL'!$A$20,N(D8)*'Bobot CPMK'!$P$4,0),IF('Bobot CPMK'!$B$5='Peta CPL'!$A$20,N(E8)*'Bobot CPMK'!$P$5,0),IF('Bobot CPMK'!$B$6='Peta CPL'!$A$20,N(F8)*'Bobot CPMK'!$P$6,0),IF('Bobot CPMK'!$B$7='Peta CPL'!$A$20,N(G8)*'Bobot CPMK'!$P$7,0),IF('Bobot CPMK'!$B$8='Peta CPL'!$A$20,N(H8)*'Bobot CPMK'!$P$8,0),IF('Bobot CPMK'!$B$9='Peta CPL'!$A$20,N(I8)*'Bobot CPMK'!$P$9,0),IF('Bobot CPMK'!$B$10='Peta CPL'!$A$20,N(J8)*'Bobot CPMK'!$P$10,0),IF('Bobot CPMK'!$B$11='Peta CPL'!$A$20,N(K8)*'Bobot CPMK'!$P$11,0))/SUM(IF('Bobot CPMK'!$B$4='Peta CPL'!$A$20,'Bobot CPMK'!$P$4,0),IF('Bobot CPMK'!$B$5='Peta CPL'!$A$20,'Bobot CPMK'!$P$5,0),IF('Bobot CPMK'!$B$6='Peta CPL'!$A$20,'Bobot CPMK'!$P$6,0),IF('Bobot CPMK'!$B$7='Peta CPL'!$A$20,'Bobot CPMK'!$P$7,0),IF('Bobot CPMK'!$B$8='Peta CPL'!$A$20,'Bobot CPMK'!$P$8,0),IF('Bobot CPMK'!$B$9='Peta CPL'!$A$20,'Bobot CPMK'!$P$9,0),IF('Bobot CPMK'!$B$10='Peta CPL'!$A$20,'Bobot CPMK'!$P$10,0),IF('Bobot CPMK'!$B$11='Peta CPL'!$A$20,'Bobot CPMK'!$P$11,0)),""))</f>
        <v/>
      </c>
      <c r="S8" s="7">
        <f>IF(OR($B8="",'Peta CPL'!$A$21=""),"",IFERROR(SUM(IF('Bobot CPMK'!$B$4='Peta CPL'!$A$21,N(D8)*'Bobot CPMK'!$P$4,0),IF('Bobot CPMK'!$B$5='Peta CPL'!$A$21,N(E8)*'Bobot CPMK'!$P$5,0),IF('Bobot CPMK'!$B$6='Peta CPL'!$A$21,N(F8)*'Bobot CPMK'!$P$6,0),IF('Bobot CPMK'!$B$7='Peta CPL'!$A$21,N(G8)*'Bobot CPMK'!$P$7,0),IF('Bobot CPMK'!$B$8='Peta CPL'!$A$21,N(H8)*'Bobot CPMK'!$P$8,0),IF('Bobot CPMK'!$B$9='Peta CPL'!$A$21,N(I8)*'Bobot CPMK'!$P$9,0),IF('Bobot CPMK'!$B$10='Peta CPL'!$A$21,N(J8)*'Bobot CPMK'!$P$10,0),IF('Bobot CPMK'!$B$11='Peta CPL'!$A$21,N(K8)*'Bobot CPMK'!$P$11,0))/SUM(IF('Bobot CPMK'!$B$4='Peta CPL'!$A$21,'Bobot CPMK'!$P$4,0),IF('Bobot CPMK'!$B$5='Peta CPL'!$A$21,'Bobot CPMK'!$P$5,0),IF('Bobot CPMK'!$B$6='Peta CPL'!$A$21,'Bobot CPMK'!$P$6,0),IF('Bobot CPMK'!$B$7='Peta CPL'!$A$21,'Bobot CPMK'!$P$7,0),IF('Bobot CPMK'!$B$8='Peta CPL'!$A$21,'Bobot CPMK'!$P$8,0),IF('Bobot CPMK'!$B$9='Peta CPL'!$A$21,'Bobot CPMK'!$P$9,0),IF('Bobot CPMK'!$B$10='Peta CPL'!$A$21,'Bobot CPMK'!$P$10,0),IF('Bobot CPMK'!$B$11='Peta CPL'!$A$21,'Bobot CPMK'!$P$11,0)),""))</f>
        <v/>
      </c>
      <c r="T8" s="7">
        <f>IF(OR($B8="",'Peta CPL'!$A$5=""),"",IFERROR((N(L8)*N('Peta CPL'!$C$14)*N('Peta CPL'!$D$14)+N(M8)*N('Peta CPL'!$C$15)*N('Peta CPL'!$D$15)+N(N8)*N('Peta CPL'!$C$16)*N('Peta CPL'!$D$16)+N(O8)*N('Peta CPL'!$C$17)*N('Peta CPL'!$D$17)+N(P8)*N('Peta CPL'!$C$18)*N('Peta CPL'!$D$18)+N(Q8)*N('Peta CPL'!$C$19)*N('Peta CPL'!$D$19)+N(R8)*N('Peta CPL'!$C$20)*N('Peta CPL'!$D$20)+N(S8)*N('Peta CPL'!$C$21)*N('Peta CPL'!$D$21))/(N('Peta CPL'!$C$14)*N('Peta CPL'!$D$14)+N('Peta CPL'!$C$15)*N('Peta CPL'!$D$15)+N('Peta CPL'!$C$16)*N('Peta CPL'!$D$16)+N('Peta CPL'!$C$17)*N('Peta CPL'!$D$17)+N('Peta CPL'!$C$18)*N('Peta CPL'!$D$18)+N('Peta CPL'!$C$19)*N('Peta CPL'!$D$19)+N('Peta CPL'!$C$20)*N('Peta CPL'!$D$20)+N('Peta CPL'!$C$21)*N('Peta CPL'!$D$21)),""))</f>
        <v/>
      </c>
      <c r="U8" s="7">
        <f>IF(OR($B8="",'Peta CPL'!$A$6=""),"",IFERROR((N(L8)*N('Peta CPL'!$C$14)*N('Peta CPL'!$E$14)+N(M8)*N('Peta CPL'!$C$15)*N('Peta CPL'!$E$15)+N(N8)*N('Peta CPL'!$C$16)*N('Peta CPL'!$E$16)+N(O8)*N('Peta CPL'!$C$17)*N('Peta CPL'!$E$17)+N(P8)*N('Peta CPL'!$C$18)*N('Peta CPL'!$E$18)+N(Q8)*N('Peta CPL'!$C$19)*N('Peta CPL'!$E$19)+N(R8)*N('Peta CPL'!$C$20)*N('Peta CPL'!$E$20)+N(S8)*N('Peta CPL'!$C$21)*N('Peta CPL'!$E$21))/(N('Peta CPL'!$C$14)*N('Peta CPL'!$E$14)+N('Peta CPL'!$C$15)*N('Peta CPL'!$E$15)+N('Peta CPL'!$C$16)*N('Peta CPL'!$E$16)+N('Peta CPL'!$C$17)*N('Peta CPL'!$E$17)+N('Peta CPL'!$C$18)*N('Peta CPL'!$E$18)+N('Peta CPL'!$C$19)*N('Peta CPL'!$E$19)+N('Peta CPL'!$C$20)*N('Peta CPL'!$E$20)+N('Peta CPL'!$C$21)*N('Peta CPL'!$E$21)),""))</f>
        <v/>
      </c>
      <c r="V8" s="7">
        <f>IF(OR($B8="",'Peta CPL'!$A$7=""),"",IFERROR((N(L8)*N('Peta CPL'!$C$14)*N('Peta CPL'!$F$14)+N(M8)*N('Peta CPL'!$C$15)*N('Peta CPL'!$F$15)+N(N8)*N('Peta CPL'!$C$16)*N('Peta CPL'!$F$16)+N(O8)*N('Peta CPL'!$C$17)*N('Peta CPL'!$F$17)+N(P8)*N('Peta CPL'!$C$18)*N('Peta CPL'!$F$18)+N(Q8)*N('Peta CPL'!$C$19)*N('Peta CPL'!$F$19)+N(R8)*N('Peta CPL'!$C$20)*N('Peta CPL'!$F$20)+N(S8)*N('Peta CPL'!$C$21)*N('Peta CPL'!$F$21))/(N('Peta CPL'!$C$14)*N('Peta CPL'!$F$14)+N('Peta CPL'!$C$15)*N('Peta CPL'!$F$15)+N('Peta CPL'!$C$16)*N('Peta CPL'!$F$16)+N('Peta CPL'!$C$17)*N('Peta CPL'!$F$17)+N('Peta CPL'!$C$18)*N('Peta CPL'!$F$18)+N('Peta CPL'!$C$19)*N('Peta CPL'!$F$19)+N('Peta CPL'!$C$20)*N('Peta CPL'!$F$20)+N('Peta CPL'!$C$21)*N('Peta CPL'!$F$21)),""))</f>
        <v/>
      </c>
      <c r="W8" s="7">
        <f>IF(OR($B8="",'Peta CPL'!$A$8=""),"",IFERROR((N(L8)*N('Peta CPL'!$C$14)*N('Peta CPL'!$G$14)+N(M8)*N('Peta CPL'!$C$15)*N('Peta CPL'!$G$15)+N(N8)*N('Peta CPL'!$C$16)*N('Peta CPL'!$G$16)+N(O8)*N('Peta CPL'!$C$17)*N('Peta CPL'!$G$17)+N(P8)*N('Peta CPL'!$C$18)*N('Peta CPL'!$G$18)+N(Q8)*N('Peta CPL'!$C$19)*N('Peta CPL'!$G$19)+N(R8)*N('Peta CPL'!$C$20)*N('Peta CPL'!$G$20)+N(S8)*N('Peta CPL'!$C$21)*N('Peta CPL'!$G$21))/(N('Peta CPL'!$C$14)*N('Peta CPL'!$G$14)+N('Peta CPL'!$C$15)*N('Peta CPL'!$G$15)+N('Peta CPL'!$C$16)*N('Peta CPL'!$G$16)+N('Peta CPL'!$C$17)*N('Peta CPL'!$G$17)+N('Peta CPL'!$C$18)*N('Peta CPL'!$G$18)+N('Peta CPL'!$C$19)*N('Peta CPL'!$G$19)+N('Peta CPL'!$C$20)*N('Peta CPL'!$G$20)+N('Peta CPL'!$C$21)*N('Peta CPL'!$G$21)),""))</f>
        <v/>
      </c>
      <c r="X8" s="7">
        <f>IF(OR($B8="",'Peta CPL'!$A$9=""),"",IFERROR((N(L8)*N('Peta CPL'!$C$14)*N('Peta CPL'!$H$14)+N(M8)*N('Peta CPL'!$C$15)*N('Peta CPL'!$H$15)+N(N8)*N('Peta CPL'!$C$16)*N('Peta CPL'!$H$16)+N(O8)*N('Peta CPL'!$C$17)*N('Peta CPL'!$H$17)+N(P8)*N('Peta CPL'!$C$18)*N('Peta CPL'!$H$18)+N(Q8)*N('Peta CPL'!$C$19)*N('Peta CPL'!$H$19)+N(R8)*N('Peta CPL'!$C$20)*N('Peta CPL'!$H$20)+N(S8)*N('Peta CPL'!$C$21)*N('Peta CPL'!$H$21))/(N('Peta CPL'!$C$14)*N('Peta CPL'!$H$14)+N('Peta CPL'!$C$15)*N('Peta CPL'!$H$15)+N('Peta CPL'!$C$16)*N('Peta CPL'!$H$16)+N('Peta CPL'!$C$17)*N('Peta CPL'!$H$17)+N('Peta CPL'!$C$18)*N('Peta CPL'!$H$18)+N('Peta CPL'!$C$19)*N('Peta CPL'!$H$19)+N('Peta CPL'!$C$20)*N('Peta CPL'!$H$20)+N('Peta CPL'!$C$21)*N('Peta CPL'!$H$21)),""))</f>
        <v/>
      </c>
      <c r="Y8" s="7">
        <f>IF(OR($B8="",'Peta CPL'!$A$10=""),"",IFERROR((N(L8)*N('Peta CPL'!$C$14)*N('Peta CPL'!$I$14)+N(M8)*N('Peta CPL'!$C$15)*N('Peta CPL'!$I$15)+N(N8)*N('Peta CPL'!$C$16)*N('Peta CPL'!$I$16)+N(O8)*N('Peta CPL'!$C$17)*N('Peta CPL'!$I$17)+N(P8)*N('Peta CPL'!$C$18)*N('Peta CPL'!$I$18)+N(Q8)*N('Peta CPL'!$C$19)*N('Peta CPL'!$I$19)+N(R8)*N('Peta CPL'!$C$20)*N('Peta CPL'!$I$20)+N(S8)*N('Peta CPL'!$C$21)*N('Peta CPL'!$I$21))/(N('Peta CPL'!$C$14)*N('Peta CPL'!$I$14)+N('Peta CPL'!$C$15)*N('Peta CPL'!$I$15)+N('Peta CPL'!$C$16)*N('Peta CPL'!$I$16)+N('Peta CPL'!$C$17)*N('Peta CPL'!$I$17)+N('Peta CPL'!$C$18)*N('Peta CPL'!$I$18)+N('Peta CPL'!$C$19)*N('Peta CPL'!$I$19)+N('Peta CPL'!$C$20)*N('Peta CPL'!$I$20)+N('Peta CPL'!$C$21)*N('Peta CPL'!$I$21)),""))</f>
        <v/>
      </c>
      <c r="Z8" s="7">
        <f>IF($B8="","",IFERROR((N(L8)*N('Peta CPL'!$C$14)+N(M8)*N('Peta CPL'!$C$15)+N(N8)*N('Peta CPL'!$C$16)+N(O8)*N('Peta CPL'!$C$17)+N(P8)*N('Peta CPL'!$C$18)+N(Q8)*N('Peta CPL'!$C$19)+N(R8)*N('Peta CPL'!$C$20)+N(S8)*N('Peta CPL'!$C$21))/100,""))</f>
        <v/>
      </c>
    </row>
    <row r="9">
      <c r="A9" s="7">
        <f>'Input Nilai'!A9</f>
        <v/>
      </c>
      <c r="B9" s="7">
        <f>'Input Nilai'!B9</f>
        <v/>
      </c>
      <c r="C9" s="15">
        <f>'Input Nilai'!C9</f>
        <v/>
      </c>
      <c r="D9" s="7">
        <f>IF(OR('Input Nilai'!$B9="",'Bobot CPMK'!$O$4=0),"",(SUMPRODUCT('Input Nilai'!D9:L9,'Bobot CPMK'!$E$4:$M$4)+'Input Nilai'!$BX9*'Bobot CPMK'!$N$4)/'Bobot CPMK'!$O$4)</f>
        <v/>
      </c>
      <c r="E9" s="7">
        <f>IF(OR('Input Nilai'!$B9="",'Bobot CPMK'!$O$5=0),"",(SUMPRODUCT('Input Nilai'!M9:U9,'Bobot CPMK'!$E$5:$M$5)+'Input Nilai'!$BX9*'Bobot CPMK'!$N$5)/'Bobot CPMK'!$O$5)</f>
        <v/>
      </c>
      <c r="F9" s="7">
        <f>IF(OR('Input Nilai'!$B9="",'Bobot CPMK'!$O$6=0),"",(SUMPRODUCT('Input Nilai'!V9:AD9,'Bobot CPMK'!$E$6:$M$6)+'Input Nilai'!$BX9*'Bobot CPMK'!$N$6)/'Bobot CPMK'!$O$6)</f>
        <v/>
      </c>
      <c r="G9" s="7">
        <f>IF(OR('Input Nilai'!$B9="",'Bobot CPMK'!$O$7=0),"",(SUMPRODUCT('Input Nilai'!AE9:AM9,'Bobot CPMK'!$E$7:$M$7)+'Input Nilai'!$BX9*'Bobot CPMK'!$N$7)/'Bobot CPMK'!$O$7)</f>
        <v/>
      </c>
      <c r="H9" s="7">
        <f>IF(OR('Input Nilai'!$B9="",'Bobot CPMK'!$O$8=0),"",(SUMPRODUCT('Input Nilai'!AN9:AV9,'Bobot CPMK'!$E$8:$M$8)+'Input Nilai'!$BX9*'Bobot CPMK'!$N$8)/'Bobot CPMK'!$O$8)</f>
        <v/>
      </c>
      <c r="I9" s="7">
        <f>IF(OR('Input Nilai'!$B9="",'Bobot CPMK'!$O$9=0),"",(SUMPRODUCT('Input Nilai'!AW9:BE9,'Bobot CPMK'!$E$9:$M$9)+'Input Nilai'!$BX9*'Bobot CPMK'!$N$9)/'Bobot CPMK'!$O$9)</f>
        <v/>
      </c>
      <c r="J9" s="7">
        <f>IF(OR('Input Nilai'!$B9="",'Bobot CPMK'!$O$10=0),"",(SUMPRODUCT('Input Nilai'!BF9:BN9,'Bobot CPMK'!$E$10:$M$10)+'Input Nilai'!$BX9*'Bobot CPMK'!$N$10)/'Bobot CPMK'!$O$10)</f>
        <v/>
      </c>
      <c r="K9" s="7">
        <f>IF(OR('Input Nilai'!$B9="",'Bobot CPMK'!$O$11=0),"",(SUMPRODUCT('Input Nilai'!BO9:BW9,'Bobot CPMK'!$E$11:$M$11)+'Input Nilai'!$BX9*'Bobot CPMK'!$N$11)/'Bobot CPMK'!$O$11)</f>
        <v/>
      </c>
      <c r="L9" s="7">
        <f>IF(OR($B9="",'Peta CPL'!$A$14=""),"",IFERROR(SUM(IF('Bobot CPMK'!$B$4='Peta CPL'!$A$14,N(D9)*'Bobot CPMK'!$P$4,0),IF('Bobot CPMK'!$B$5='Peta CPL'!$A$14,N(E9)*'Bobot CPMK'!$P$5,0),IF('Bobot CPMK'!$B$6='Peta CPL'!$A$14,N(F9)*'Bobot CPMK'!$P$6,0),IF('Bobot CPMK'!$B$7='Peta CPL'!$A$14,N(G9)*'Bobot CPMK'!$P$7,0),IF('Bobot CPMK'!$B$8='Peta CPL'!$A$14,N(H9)*'Bobot CPMK'!$P$8,0),IF('Bobot CPMK'!$B$9='Peta CPL'!$A$14,N(I9)*'Bobot CPMK'!$P$9,0),IF('Bobot CPMK'!$B$10='Peta CPL'!$A$14,N(J9)*'Bobot CPMK'!$P$10,0),IF('Bobot CPMK'!$B$11='Peta CPL'!$A$14,N(K9)*'Bobot CPMK'!$P$11,0))/SUM(IF('Bobot CPMK'!$B$4='Peta CPL'!$A$14,'Bobot CPMK'!$P$4,0),IF('Bobot CPMK'!$B$5='Peta CPL'!$A$14,'Bobot CPMK'!$P$5,0),IF('Bobot CPMK'!$B$6='Peta CPL'!$A$14,'Bobot CPMK'!$P$6,0),IF('Bobot CPMK'!$B$7='Peta CPL'!$A$14,'Bobot CPMK'!$P$7,0),IF('Bobot CPMK'!$B$8='Peta CPL'!$A$14,'Bobot CPMK'!$P$8,0),IF('Bobot CPMK'!$B$9='Peta CPL'!$A$14,'Bobot CPMK'!$P$9,0),IF('Bobot CPMK'!$B$10='Peta CPL'!$A$14,'Bobot CPMK'!$P$10,0),IF('Bobot CPMK'!$B$11='Peta CPL'!$A$14,'Bobot CPMK'!$P$11,0)),""))</f>
        <v/>
      </c>
      <c r="M9" s="7">
        <f>IF(OR($B9="",'Peta CPL'!$A$15=""),"",IFERROR(SUM(IF('Bobot CPMK'!$B$4='Peta CPL'!$A$15,N(D9)*'Bobot CPMK'!$P$4,0),IF('Bobot CPMK'!$B$5='Peta CPL'!$A$15,N(E9)*'Bobot CPMK'!$P$5,0),IF('Bobot CPMK'!$B$6='Peta CPL'!$A$15,N(F9)*'Bobot CPMK'!$P$6,0),IF('Bobot CPMK'!$B$7='Peta CPL'!$A$15,N(G9)*'Bobot CPMK'!$P$7,0),IF('Bobot CPMK'!$B$8='Peta CPL'!$A$15,N(H9)*'Bobot CPMK'!$P$8,0),IF('Bobot CPMK'!$B$9='Peta CPL'!$A$15,N(I9)*'Bobot CPMK'!$P$9,0),IF('Bobot CPMK'!$B$10='Peta CPL'!$A$15,N(J9)*'Bobot CPMK'!$P$10,0),IF('Bobot CPMK'!$B$11='Peta CPL'!$A$15,N(K9)*'Bobot CPMK'!$P$11,0))/SUM(IF('Bobot CPMK'!$B$4='Peta CPL'!$A$15,'Bobot CPMK'!$P$4,0),IF('Bobot CPMK'!$B$5='Peta CPL'!$A$15,'Bobot CPMK'!$P$5,0),IF('Bobot CPMK'!$B$6='Peta CPL'!$A$15,'Bobot CPMK'!$P$6,0),IF('Bobot CPMK'!$B$7='Peta CPL'!$A$15,'Bobot CPMK'!$P$7,0),IF('Bobot CPMK'!$B$8='Peta CPL'!$A$15,'Bobot CPMK'!$P$8,0),IF('Bobot CPMK'!$B$9='Peta CPL'!$A$15,'Bobot CPMK'!$P$9,0),IF('Bobot CPMK'!$B$10='Peta CPL'!$A$15,'Bobot CPMK'!$P$10,0),IF('Bobot CPMK'!$B$11='Peta CPL'!$A$15,'Bobot CPMK'!$P$11,0)),""))</f>
        <v/>
      </c>
      <c r="N9" s="7">
        <f>IF(OR($B9="",'Peta CPL'!$A$16=""),"",IFERROR(SUM(IF('Bobot CPMK'!$B$4='Peta CPL'!$A$16,N(D9)*'Bobot CPMK'!$P$4,0),IF('Bobot CPMK'!$B$5='Peta CPL'!$A$16,N(E9)*'Bobot CPMK'!$P$5,0),IF('Bobot CPMK'!$B$6='Peta CPL'!$A$16,N(F9)*'Bobot CPMK'!$P$6,0),IF('Bobot CPMK'!$B$7='Peta CPL'!$A$16,N(G9)*'Bobot CPMK'!$P$7,0),IF('Bobot CPMK'!$B$8='Peta CPL'!$A$16,N(H9)*'Bobot CPMK'!$P$8,0),IF('Bobot CPMK'!$B$9='Peta CPL'!$A$16,N(I9)*'Bobot CPMK'!$P$9,0),IF('Bobot CPMK'!$B$10='Peta CPL'!$A$16,N(J9)*'Bobot CPMK'!$P$10,0),IF('Bobot CPMK'!$B$11='Peta CPL'!$A$16,N(K9)*'Bobot CPMK'!$P$11,0))/SUM(IF('Bobot CPMK'!$B$4='Peta CPL'!$A$16,'Bobot CPMK'!$P$4,0),IF('Bobot CPMK'!$B$5='Peta CPL'!$A$16,'Bobot CPMK'!$P$5,0),IF('Bobot CPMK'!$B$6='Peta CPL'!$A$16,'Bobot CPMK'!$P$6,0),IF('Bobot CPMK'!$B$7='Peta CPL'!$A$16,'Bobot CPMK'!$P$7,0),IF('Bobot CPMK'!$B$8='Peta CPL'!$A$16,'Bobot CPMK'!$P$8,0),IF('Bobot CPMK'!$B$9='Peta CPL'!$A$16,'Bobot CPMK'!$P$9,0),IF('Bobot CPMK'!$B$10='Peta CPL'!$A$16,'Bobot CPMK'!$P$10,0),IF('Bobot CPMK'!$B$11='Peta CPL'!$A$16,'Bobot CPMK'!$P$11,0)),""))</f>
        <v/>
      </c>
      <c r="O9" s="7">
        <f>IF(OR($B9="",'Peta CPL'!$A$17=""),"",IFERROR(SUM(IF('Bobot CPMK'!$B$4='Peta CPL'!$A$17,N(D9)*'Bobot CPMK'!$P$4,0),IF('Bobot CPMK'!$B$5='Peta CPL'!$A$17,N(E9)*'Bobot CPMK'!$P$5,0),IF('Bobot CPMK'!$B$6='Peta CPL'!$A$17,N(F9)*'Bobot CPMK'!$P$6,0),IF('Bobot CPMK'!$B$7='Peta CPL'!$A$17,N(G9)*'Bobot CPMK'!$P$7,0),IF('Bobot CPMK'!$B$8='Peta CPL'!$A$17,N(H9)*'Bobot CPMK'!$P$8,0),IF('Bobot CPMK'!$B$9='Peta CPL'!$A$17,N(I9)*'Bobot CPMK'!$P$9,0),IF('Bobot CPMK'!$B$10='Peta CPL'!$A$17,N(J9)*'Bobot CPMK'!$P$10,0),IF('Bobot CPMK'!$B$11='Peta CPL'!$A$17,N(K9)*'Bobot CPMK'!$P$11,0))/SUM(IF('Bobot CPMK'!$B$4='Peta CPL'!$A$17,'Bobot CPMK'!$P$4,0),IF('Bobot CPMK'!$B$5='Peta CPL'!$A$17,'Bobot CPMK'!$P$5,0),IF('Bobot CPMK'!$B$6='Peta CPL'!$A$17,'Bobot CPMK'!$P$6,0),IF('Bobot CPMK'!$B$7='Peta CPL'!$A$17,'Bobot CPMK'!$P$7,0),IF('Bobot CPMK'!$B$8='Peta CPL'!$A$17,'Bobot CPMK'!$P$8,0),IF('Bobot CPMK'!$B$9='Peta CPL'!$A$17,'Bobot CPMK'!$P$9,0),IF('Bobot CPMK'!$B$10='Peta CPL'!$A$17,'Bobot CPMK'!$P$10,0),IF('Bobot CPMK'!$B$11='Peta CPL'!$A$17,'Bobot CPMK'!$P$11,0)),""))</f>
        <v/>
      </c>
      <c r="P9" s="7">
        <f>IF(OR($B9="",'Peta CPL'!$A$18=""),"",IFERROR(SUM(IF('Bobot CPMK'!$B$4='Peta CPL'!$A$18,N(D9)*'Bobot CPMK'!$P$4,0),IF('Bobot CPMK'!$B$5='Peta CPL'!$A$18,N(E9)*'Bobot CPMK'!$P$5,0),IF('Bobot CPMK'!$B$6='Peta CPL'!$A$18,N(F9)*'Bobot CPMK'!$P$6,0),IF('Bobot CPMK'!$B$7='Peta CPL'!$A$18,N(G9)*'Bobot CPMK'!$P$7,0),IF('Bobot CPMK'!$B$8='Peta CPL'!$A$18,N(H9)*'Bobot CPMK'!$P$8,0),IF('Bobot CPMK'!$B$9='Peta CPL'!$A$18,N(I9)*'Bobot CPMK'!$P$9,0),IF('Bobot CPMK'!$B$10='Peta CPL'!$A$18,N(J9)*'Bobot CPMK'!$P$10,0),IF('Bobot CPMK'!$B$11='Peta CPL'!$A$18,N(K9)*'Bobot CPMK'!$P$11,0))/SUM(IF('Bobot CPMK'!$B$4='Peta CPL'!$A$18,'Bobot CPMK'!$P$4,0),IF('Bobot CPMK'!$B$5='Peta CPL'!$A$18,'Bobot CPMK'!$P$5,0),IF('Bobot CPMK'!$B$6='Peta CPL'!$A$18,'Bobot CPMK'!$P$6,0),IF('Bobot CPMK'!$B$7='Peta CPL'!$A$18,'Bobot CPMK'!$P$7,0),IF('Bobot CPMK'!$B$8='Peta CPL'!$A$18,'Bobot CPMK'!$P$8,0),IF('Bobot CPMK'!$B$9='Peta CPL'!$A$18,'Bobot CPMK'!$P$9,0),IF('Bobot CPMK'!$B$10='Peta CPL'!$A$18,'Bobot CPMK'!$P$10,0),IF('Bobot CPMK'!$B$11='Peta CPL'!$A$18,'Bobot CPMK'!$P$11,0)),""))</f>
        <v/>
      </c>
      <c r="Q9" s="7">
        <f>IF(OR($B9="",'Peta CPL'!$A$19=""),"",IFERROR(SUM(IF('Bobot CPMK'!$B$4='Peta CPL'!$A$19,N(D9)*'Bobot CPMK'!$P$4,0),IF('Bobot CPMK'!$B$5='Peta CPL'!$A$19,N(E9)*'Bobot CPMK'!$P$5,0),IF('Bobot CPMK'!$B$6='Peta CPL'!$A$19,N(F9)*'Bobot CPMK'!$P$6,0),IF('Bobot CPMK'!$B$7='Peta CPL'!$A$19,N(G9)*'Bobot CPMK'!$P$7,0),IF('Bobot CPMK'!$B$8='Peta CPL'!$A$19,N(H9)*'Bobot CPMK'!$P$8,0),IF('Bobot CPMK'!$B$9='Peta CPL'!$A$19,N(I9)*'Bobot CPMK'!$P$9,0),IF('Bobot CPMK'!$B$10='Peta CPL'!$A$19,N(J9)*'Bobot CPMK'!$P$10,0),IF('Bobot CPMK'!$B$11='Peta CPL'!$A$19,N(K9)*'Bobot CPMK'!$P$11,0))/SUM(IF('Bobot CPMK'!$B$4='Peta CPL'!$A$19,'Bobot CPMK'!$P$4,0),IF('Bobot CPMK'!$B$5='Peta CPL'!$A$19,'Bobot CPMK'!$P$5,0),IF('Bobot CPMK'!$B$6='Peta CPL'!$A$19,'Bobot CPMK'!$P$6,0),IF('Bobot CPMK'!$B$7='Peta CPL'!$A$19,'Bobot CPMK'!$P$7,0),IF('Bobot CPMK'!$B$8='Peta CPL'!$A$19,'Bobot CPMK'!$P$8,0),IF('Bobot CPMK'!$B$9='Peta CPL'!$A$19,'Bobot CPMK'!$P$9,0),IF('Bobot CPMK'!$B$10='Peta CPL'!$A$19,'Bobot CPMK'!$P$10,0),IF('Bobot CPMK'!$B$11='Peta CPL'!$A$19,'Bobot CPMK'!$P$11,0)),""))</f>
        <v/>
      </c>
      <c r="R9" s="7">
        <f>IF(OR($B9="",'Peta CPL'!$A$20=""),"",IFERROR(SUM(IF('Bobot CPMK'!$B$4='Peta CPL'!$A$20,N(D9)*'Bobot CPMK'!$P$4,0),IF('Bobot CPMK'!$B$5='Peta CPL'!$A$20,N(E9)*'Bobot CPMK'!$P$5,0),IF('Bobot CPMK'!$B$6='Peta CPL'!$A$20,N(F9)*'Bobot CPMK'!$P$6,0),IF('Bobot CPMK'!$B$7='Peta CPL'!$A$20,N(G9)*'Bobot CPMK'!$P$7,0),IF('Bobot CPMK'!$B$8='Peta CPL'!$A$20,N(H9)*'Bobot CPMK'!$P$8,0),IF('Bobot CPMK'!$B$9='Peta CPL'!$A$20,N(I9)*'Bobot CPMK'!$P$9,0),IF('Bobot CPMK'!$B$10='Peta CPL'!$A$20,N(J9)*'Bobot CPMK'!$P$10,0),IF('Bobot CPMK'!$B$11='Peta CPL'!$A$20,N(K9)*'Bobot CPMK'!$P$11,0))/SUM(IF('Bobot CPMK'!$B$4='Peta CPL'!$A$20,'Bobot CPMK'!$P$4,0),IF('Bobot CPMK'!$B$5='Peta CPL'!$A$20,'Bobot CPMK'!$P$5,0),IF('Bobot CPMK'!$B$6='Peta CPL'!$A$20,'Bobot CPMK'!$P$6,0),IF('Bobot CPMK'!$B$7='Peta CPL'!$A$20,'Bobot CPMK'!$P$7,0),IF('Bobot CPMK'!$B$8='Peta CPL'!$A$20,'Bobot CPMK'!$P$8,0),IF('Bobot CPMK'!$B$9='Peta CPL'!$A$20,'Bobot CPMK'!$P$9,0),IF('Bobot CPMK'!$B$10='Peta CPL'!$A$20,'Bobot CPMK'!$P$10,0),IF('Bobot CPMK'!$B$11='Peta CPL'!$A$20,'Bobot CPMK'!$P$11,0)),""))</f>
        <v/>
      </c>
      <c r="S9" s="7">
        <f>IF(OR($B9="",'Peta CPL'!$A$21=""),"",IFERROR(SUM(IF('Bobot CPMK'!$B$4='Peta CPL'!$A$21,N(D9)*'Bobot CPMK'!$P$4,0),IF('Bobot CPMK'!$B$5='Peta CPL'!$A$21,N(E9)*'Bobot CPMK'!$P$5,0),IF('Bobot CPMK'!$B$6='Peta CPL'!$A$21,N(F9)*'Bobot CPMK'!$P$6,0),IF('Bobot CPMK'!$B$7='Peta CPL'!$A$21,N(G9)*'Bobot CPMK'!$P$7,0),IF('Bobot CPMK'!$B$8='Peta CPL'!$A$21,N(H9)*'Bobot CPMK'!$P$8,0),IF('Bobot CPMK'!$B$9='Peta CPL'!$A$21,N(I9)*'Bobot CPMK'!$P$9,0),IF('Bobot CPMK'!$B$10='Peta CPL'!$A$21,N(J9)*'Bobot CPMK'!$P$10,0),IF('Bobot CPMK'!$B$11='Peta CPL'!$A$21,N(K9)*'Bobot CPMK'!$P$11,0))/SUM(IF('Bobot CPMK'!$B$4='Peta CPL'!$A$21,'Bobot CPMK'!$P$4,0),IF('Bobot CPMK'!$B$5='Peta CPL'!$A$21,'Bobot CPMK'!$P$5,0),IF('Bobot CPMK'!$B$6='Peta CPL'!$A$21,'Bobot CPMK'!$P$6,0),IF('Bobot CPMK'!$B$7='Peta CPL'!$A$21,'Bobot CPMK'!$P$7,0),IF('Bobot CPMK'!$B$8='Peta CPL'!$A$21,'Bobot CPMK'!$P$8,0),IF('Bobot CPMK'!$B$9='Peta CPL'!$A$21,'Bobot CPMK'!$P$9,0),IF('Bobot CPMK'!$B$10='Peta CPL'!$A$21,'Bobot CPMK'!$P$10,0),IF('Bobot CPMK'!$B$11='Peta CPL'!$A$21,'Bobot CPMK'!$P$11,0)),""))</f>
        <v/>
      </c>
      <c r="T9" s="7">
        <f>IF(OR($B9="",'Peta CPL'!$A$5=""),"",IFERROR((N(L9)*N('Peta CPL'!$C$14)*N('Peta CPL'!$D$14)+N(M9)*N('Peta CPL'!$C$15)*N('Peta CPL'!$D$15)+N(N9)*N('Peta CPL'!$C$16)*N('Peta CPL'!$D$16)+N(O9)*N('Peta CPL'!$C$17)*N('Peta CPL'!$D$17)+N(P9)*N('Peta CPL'!$C$18)*N('Peta CPL'!$D$18)+N(Q9)*N('Peta CPL'!$C$19)*N('Peta CPL'!$D$19)+N(R9)*N('Peta CPL'!$C$20)*N('Peta CPL'!$D$20)+N(S9)*N('Peta CPL'!$C$21)*N('Peta CPL'!$D$21))/(N('Peta CPL'!$C$14)*N('Peta CPL'!$D$14)+N('Peta CPL'!$C$15)*N('Peta CPL'!$D$15)+N('Peta CPL'!$C$16)*N('Peta CPL'!$D$16)+N('Peta CPL'!$C$17)*N('Peta CPL'!$D$17)+N('Peta CPL'!$C$18)*N('Peta CPL'!$D$18)+N('Peta CPL'!$C$19)*N('Peta CPL'!$D$19)+N('Peta CPL'!$C$20)*N('Peta CPL'!$D$20)+N('Peta CPL'!$C$21)*N('Peta CPL'!$D$21)),""))</f>
        <v/>
      </c>
      <c r="U9" s="7">
        <f>IF(OR($B9="",'Peta CPL'!$A$6=""),"",IFERROR((N(L9)*N('Peta CPL'!$C$14)*N('Peta CPL'!$E$14)+N(M9)*N('Peta CPL'!$C$15)*N('Peta CPL'!$E$15)+N(N9)*N('Peta CPL'!$C$16)*N('Peta CPL'!$E$16)+N(O9)*N('Peta CPL'!$C$17)*N('Peta CPL'!$E$17)+N(P9)*N('Peta CPL'!$C$18)*N('Peta CPL'!$E$18)+N(Q9)*N('Peta CPL'!$C$19)*N('Peta CPL'!$E$19)+N(R9)*N('Peta CPL'!$C$20)*N('Peta CPL'!$E$20)+N(S9)*N('Peta CPL'!$C$21)*N('Peta CPL'!$E$21))/(N('Peta CPL'!$C$14)*N('Peta CPL'!$E$14)+N('Peta CPL'!$C$15)*N('Peta CPL'!$E$15)+N('Peta CPL'!$C$16)*N('Peta CPL'!$E$16)+N('Peta CPL'!$C$17)*N('Peta CPL'!$E$17)+N('Peta CPL'!$C$18)*N('Peta CPL'!$E$18)+N('Peta CPL'!$C$19)*N('Peta CPL'!$E$19)+N('Peta CPL'!$C$20)*N('Peta CPL'!$E$20)+N('Peta CPL'!$C$21)*N('Peta CPL'!$E$21)),""))</f>
        <v/>
      </c>
      <c r="V9" s="7">
        <f>IF(OR($B9="",'Peta CPL'!$A$7=""),"",IFERROR((N(L9)*N('Peta CPL'!$C$14)*N('Peta CPL'!$F$14)+N(M9)*N('Peta CPL'!$C$15)*N('Peta CPL'!$F$15)+N(N9)*N('Peta CPL'!$C$16)*N('Peta CPL'!$F$16)+N(O9)*N('Peta CPL'!$C$17)*N('Peta CPL'!$F$17)+N(P9)*N('Peta CPL'!$C$18)*N('Peta CPL'!$F$18)+N(Q9)*N('Peta CPL'!$C$19)*N('Peta CPL'!$F$19)+N(R9)*N('Peta CPL'!$C$20)*N('Peta CPL'!$F$20)+N(S9)*N('Peta CPL'!$C$21)*N('Peta CPL'!$F$21))/(N('Peta CPL'!$C$14)*N('Peta CPL'!$F$14)+N('Peta CPL'!$C$15)*N('Peta CPL'!$F$15)+N('Peta CPL'!$C$16)*N('Peta CPL'!$F$16)+N('Peta CPL'!$C$17)*N('Peta CPL'!$F$17)+N('Peta CPL'!$C$18)*N('Peta CPL'!$F$18)+N('Peta CPL'!$C$19)*N('Peta CPL'!$F$19)+N('Peta CPL'!$C$20)*N('Peta CPL'!$F$20)+N('Peta CPL'!$C$21)*N('Peta CPL'!$F$21)),""))</f>
        <v/>
      </c>
      <c r="W9" s="7">
        <f>IF(OR($B9="",'Peta CPL'!$A$8=""),"",IFERROR((N(L9)*N('Peta CPL'!$C$14)*N('Peta CPL'!$G$14)+N(M9)*N('Peta CPL'!$C$15)*N('Peta CPL'!$G$15)+N(N9)*N('Peta CPL'!$C$16)*N('Peta CPL'!$G$16)+N(O9)*N('Peta CPL'!$C$17)*N('Peta CPL'!$G$17)+N(P9)*N('Peta CPL'!$C$18)*N('Peta CPL'!$G$18)+N(Q9)*N('Peta CPL'!$C$19)*N('Peta CPL'!$G$19)+N(R9)*N('Peta CPL'!$C$20)*N('Peta CPL'!$G$20)+N(S9)*N('Peta CPL'!$C$21)*N('Peta CPL'!$G$21))/(N('Peta CPL'!$C$14)*N('Peta CPL'!$G$14)+N('Peta CPL'!$C$15)*N('Peta CPL'!$G$15)+N('Peta CPL'!$C$16)*N('Peta CPL'!$G$16)+N('Peta CPL'!$C$17)*N('Peta CPL'!$G$17)+N('Peta CPL'!$C$18)*N('Peta CPL'!$G$18)+N('Peta CPL'!$C$19)*N('Peta CPL'!$G$19)+N('Peta CPL'!$C$20)*N('Peta CPL'!$G$20)+N('Peta CPL'!$C$21)*N('Peta CPL'!$G$21)),""))</f>
        <v/>
      </c>
      <c r="X9" s="7">
        <f>IF(OR($B9="",'Peta CPL'!$A$9=""),"",IFERROR((N(L9)*N('Peta CPL'!$C$14)*N('Peta CPL'!$H$14)+N(M9)*N('Peta CPL'!$C$15)*N('Peta CPL'!$H$15)+N(N9)*N('Peta CPL'!$C$16)*N('Peta CPL'!$H$16)+N(O9)*N('Peta CPL'!$C$17)*N('Peta CPL'!$H$17)+N(P9)*N('Peta CPL'!$C$18)*N('Peta CPL'!$H$18)+N(Q9)*N('Peta CPL'!$C$19)*N('Peta CPL'!$H$19)+N(R9)*N('Peta CPL'!$C$20)*N('Peta CPL'!$H$20)+N(S9)*N('Peta CPL'!$C$21)*N('Peta CPL'!$H$21))/(N('Peta CPL'!$C$14)*N('Peta CPL'!$H$14)+N('Peta CPL'!$C$15)*N('Peta CPL'!$H$15)+N('Peta CPL'!$C$16)*N('Peta CPL'!$H$16)+N('Peta CPL'!$C$17)*N('Peta CPL'!$H$17)+N('Peta CPL'!$C$18)*N('Peta CPL'!$H$18)+N('Peta CPL'!$C$19)*N('Peta CPL'!$H$19)+N('Peta CPL'!$C$20)*N('Peta CPL'!$H$20)+N('Peta CPL'!$C$21)*N('Peta CPL'!$H$21)),""))</f>
        <v/>
      </c>
      <c r="Y9" s="7">
        <f>IF(OR($B9="",'Peta CPL'!$A$10=""),"",IFERROR((N(L9)*N('Peta CPL'!$C$14)*N('Peta CPL'!$I$14)+N(M9)*N('Peta CPL'!$C$15)*N('Peta CPL'!$I$15)+N(N9)*N('Peta CPL'!$C$16)*N('Peta CPL'!$I$16)+N(O9)*N('Peta CPL'!$C$17)*N('Peta CPL'!$I$17)+N(P9)*N('Peta CPL'!$C$18)*N('Peta CPL'!$I$18)+N(Q9)*N('Peta CPL'!$C$19)*N('Peta CPL'!$I$19)+N(R9)*N('Peta CPL'!$C$20)*N('Peta CPL'!$I$20)+N(S9)*N('Peta CPL'!$C$21)*N('Peta CPL'!$I$21))/(N('Peta CPL'!$C$14)*N('Peta CPL'!$I$14)+N('Peta CPL'!$C$15)*N('Peta CPL'!$I$15)+N('Peta CPL'!$C$16)*N('Peta CPL'!$I$16)+N('Peta CPL'!$C$17)*N('Peta CPL'!$I$17)+N('Peta CPL'!$C$18)*N('Peta CPL'!$I$18)+N('Peta CPL'!$C$19)*N('Peta CPL'!$I$19)+N('Peta CPL'!$C$20)*N('Peta CPL'!$I$20)+N('Peta CPL'!$C$21)*N('Peta CPL'!$I$21)),""))</f>
        <v/>
      </c>
      <c r="Z9" s="7">
        <f>IF($B9="","",IFERROR((N(L9)*N('Peta CPL'!$C$14)+N(M9)*N('Peta CPL'!$C$15)+N(N9)*N('Peta CPL'!$C$16)+N(O9)*N('Peta CPL'!$C$17)+N(P9)*N('Peta CPL'!$C$18)+N(Q9)*N('Peta CPL'!$C$19)+N(R9)*N('Peta CPL'!$C$20)+N(S9)*N('Peta CPL'!$C$21))/100,""))</f>
        <v/>
      </c>
    </row>
    <row r="10">
      <c r="A10" s="7">
        <f>'Input Nilai'!A10</f>
        <v/>
      </c>
      <c r="B10" s="7">
        <f>'Input Nilai'!B10</f>
        <v/>
      </c>
      <c r="C10" s="15">
        <f>'Input Nilai'!C10</f>
        <v/>
      </c>
      <c r="D10" s="7">
        <f>IF(OR('Input Nilai'!$B10="",'Bobot CPMK'!$O$4=0),"",(SUMPRODUCT('Input Nilai'!D10:L10,'Bobot CPMK'!$E$4:$M$4)+'Input Nilai'!$BX10*'Bobot CPMK'!$N$4)/'Bobot CPMK'!$O$4)</f>
        <v/>
      </c>
      <c r="E10" s="7">
        <f>IF(OR('Input Nilai'!$B10="",'Bobot CPMK'!$O$5=0),"",(SUMPRODUCT('Input Nilai'!M10:U10,'Bobot CPMK'!$E$5:$M$5)+'Input Nilai'!$BX10*'Bobot CPMK'!$N$5)/'Bobot CPMK'!$O$5)</f>
        <v/>
      </c>
      <c r="F10" s="7">
        <f>IF(OR('Input Nilai'!$B10="",'Bobot CPMK'!$O$6=0),"",(SUMPRODUCT('Input Nilai'!V10:AD10,'Bobot CPMK'!$E$6:$M$6)+'Input Nilai'!$BX10*'Bobot CPMK'!$N$6)/'Bobot CPMK'!$O$6)</f>
        <v/>
      </c>
      <c r="G10" s="7">
        <f>IF(OR('Input Nilai'!$B10="",'Bobot CPMK'!$O$7=0),"",(SUMPRODUCT('Input Nilai'!AE10:AM10,'Bobot CPMK'!$E$7:$M$7)+'Input Nilai'!$BX10*'Bobot CPMK'!$N$7)/'Bobot CPMK'!$O$7)</f>
        <v/>
      </c>
      <c r="H10" s="7">
        <f>IF(OR('Input Nilai'!$B10="",'Bobot CPMK'!$O$8=0),"",(SUMPRODUCT('Input Nilai'!AN10:AV10,'Bobot CPMK'!$E$8:$M$8)+'Input Nilai'!$BX10*'Bobot CPMK'!$N$8)/'Bobot CPMK'!$O$8)</f>
        <v/>
      </c>
      <c r="I10" s="7">
        <f>IF(OR('Input Nilai'!$B10="",'Bobot CPMK'!$O$9=0),"",(SUMPRODUCT('Input Nilai'!AW10:BE10,'Bobot CPMK'!$E$9:$M$9)+'Input Nilai'!$BX10*'Bobot CPMK'!$N$9)/'Bobot CPMK'!$O$9)</f>
        <v/>
      </c>
      <c r="J10" s="7">
        <f>IF(OR('Input Nilai'!$B10="",'Bobot CPMK'!$O$10=0),"",(SUMPRODUCT('Input Nilai'!BF10:BN10,'Bobot CPMK'!$E$10:$M$10)+'Input Nilai'!$BX10*'Bobot CPMK'!$N$10)/'Bobot CPMK'!$O$10)</f>
        <v/>
      </c>
      <c r="K10" s="7">
        <f>IF(OR('Input Nilai'!$B10="",'Bobot CPMK'!$O$11=0),"",(SUMPRODUCT('Input Nilai'!BO10:BW10,'Bobot CPMK'!$E$11:$M$11)+'Input Nilai'!$BX10*'Bobot CPMK'!$N$11)/'Bobot CPMK'!$O$11)</f>
        <v/>
      </c>
      <c r="L10" s="7">
        <f>IF(OR($B10="",'Peta CPL'!$A$14=""),"",IFERROR(SUM(IF('Bobot CPMK'!$B$4='Peta CPL'!$A$14,N(D10)*'Bobot CPMK'!$P$4,0),IF('Bobot CPMK'!$B$5='Peta CPL'!$A$14,N(E10)*'Bobot CPMK'!$P$5,0),IF('Bobot CPMK'!$B$6='Peta CPL'!$A$14,N(F10)*'Bobot CPMK'!$P$6,0),IF('Bobot CPMK'!$B$7='Peta CPL'!$A$14,N(G10)*'Bobot CPMK'!$P$7,0),IF('Bobot CPMK'!$B$8='Peta CPL'!$A$14,N(H10)*'Bobot CPMK'!$P$8,0),IF('Bobot CPMK'!$B$9='Peta CPL'!$A$14,N(I10)*'Bobot CPMK'!$P$9,0),IF('Bobot CPMK'!$B$10='Peta CPL'!$A$14,N(J10)*'Bobot CPMK'!$P$10,0),IF('Bobot CPMK'!$B$11='Peta CPL'!$A$14,N(K10)*'Bobot CPMK'!$P$11,0))/SUM(IF('Bobot CPMK'!$B$4='Peta CPL'!$A$14,'Bobot CPMK'!$P$4,0),IF('Bobot CPMK'!$B$5='Peta CPL'!$A$14,'Bobot CPMK'!$P$5,0),IF('Bobot CPMK'!$B$6='Peta CPL'!$A$14,'Bobot CPMK'!$P$6,0),IF('Bobot CPMK'!$B$7='Peta CPL'!$A$14,'Bobot CPMK'!$P$7,0),IF('Bobot CPMK'!$B$8='Peta CPL'!$A$14,'Bobot CPMK'!$P$8,0),IF('Bobot CPMK'!$B$9='Peta CPL'!$A$14,'Bobot CPMK'!$P$9,0),IF('Bobot CPMK'!$B$10='Peta CPL'!$A$14,'Bobot CPMK'!$P$10,0),IF('Bobot CPMK'!$B$11='Peta CPL'!$A$14,'Bobot CPMK'!$P$11,0)),""))</f>
        <v/>
      </c>
      <c r="M10" s="7">
        <f>IF(OR($B10="",'Peta CPL'!$A$15=""),"",IFERROR(SUM(IF('Bobot CPMK'!$B$4='Peta CPL'!$A$15,N(D10)*'Bobot CPMK'!$P$4,0),IF('Bobot CPMK'!$B$5='Peta CPL'!$A$15,N(E10)*'Bobot CPMK'!$P$5,0),IF('Bobot CPMK'!$B$6='Peta CPL'!$A$15,N(F10)*'Bobot CPMK'!$P$6,0),IF('Bobot CPMK'!$B$7='Peta CPL'!$A$15,N(G10)*'Bobot CPMK'!$P$7,0),IF('Bobot CPMK'!$B$8='Peta CPL'!$A$15,N(H10)*'Bobot CPMK'!$P$8,0),IF('Bobot CPMK'!$B$9='Peta CPL'!$A$15,N(I10)*'Bobot CPMK'!$P$9,0),IF('Bobot CPMK'!$B$10='Peta CPL'!$A$15,N(J10)*'Bobot CPMK'!$P$10,0),IF('Bobot CPMK'!$B$11='Peta CPL'!$A$15,N(K10)*'Bobot CPMK'!$P$11,0))/SUM(IF('Bobot CPMK'!$B$4='Peta CPL'!$A$15,'Bobot CPMK'!$P$4,0),IF('Bobot CPMK'!$B$5='Peta CPL'!$A$15,'Bobot CPMK'!$P$5,0),IF('Bobot CPMK'!$B$6='Peta CPL'!$A$15,'Bobot CPMK'!$P$6,0),IF('Bobot CPMK'!$B$7='Peta CPL'!$A$15,'Bobot CPMK'!$P$7,0),IF('Bobot CPMK'!$B$8='Peta CPL'!$A$15,'Bobot CPMK'!$P$8,0),IF('Bobot CPMK'!$B$9='Peta CPL'!$A$15,'Bobot CPMK'!$P$9,0),IF('Bobot CPMK'!$B$10='Peta CPL'!$A$15,'Bobot CPMK'!$P$10,0),IF('Bobot CPMK'!$B$11='Peta CPL'!$A$15,'Bobot CPMK'!$P$11,0)),""))</f>
        <v/>
      </c>
      <c r="N10" s="7">
        <f>IF(OR($B10="",'Peta CPL'!$A$16=""),"",IFERROR(SUM(IF('Bobot CPMK'!$B$4='Peta CPL'!$A$16,N(D10)*'Bobot CPMK'!$P$4,0),IF('Bobot CPMK'!$B$5='Peta CPL'!$A$16,N(E10)*'Bobot CPMK'!$P$5,0),IF('Bobot CPMK'!$B$6='Peta CPL'!$A$16,N(F10)*'Bobot CPMK'!$P$6,0),IF('Bobot CPMK'!$B$7='Peta CPL'!$A$16,N(G10)*'Bobot CPMK'!$P$7,0),IF('Bobot CPMK'!$B$8='Peta CPL'!$A$16,N(H10)*'Bobot CPMK'!$P$8,0),IF('Bobot CPMK'!$B$9='Peta CPL'!$A$16,N(I10)*'Bobot CPMK'!$P$9,0),IF('Bobot CPMK'!$B$10='Peta CPL'!$A$16,N(J10)*'Bobot CPMK'!$P$10,0),IF('Bobot CPMK'!$B$11='Peta CPL'!$A$16,N(K10)*'Bobot CPMK'!$P$11,0))/SUM(IF('Bobot CPMK'!$B$4='Peta CPL'!$A$16,'Bobot CPMK'!$P$4,0),IF('Bobot CPMK'!$B$5='Peta CPL'!$A$16,'Bobot CPMK'!$P$5,0),IF('Bobot CPMK'!$B$6='Peta CPL'!$A$16,'Bobot CPMK'!$P$6,0),IF('Bobot CPMK'!$B$7='Peta CPL'!$A$16,'Bobot CPMK'!$P$7,0),IF('Bobot CPMK'!$B$8='Peta CPL'!$A$16,'Bobot CPMK'!$P$8,0),IF('Bobot CPMK'!$B$9='Peta CPL'!$A$16,'Bobot CPMK'!$P$9,0),IF('Bobot CPMK'!$B$10='Peta CPL'!$A$16,'Bobot CPMK'!$P$10,0),IF('Bobot CPMK'!$B$11='Peta CPL'!$A$16,'Bobot CPMK'!$P$11,0)),""))</f>
        <v/>
      </c>
      <c r="O10" s="7">
        <f>IF(OR($B10="",'Peta CPL'!$A$17=""),"",IFERROR(SUM(IF('Bobot CPMK'!$B$4='Peta CPL'!$A$17,N(D10)*'Bobot CPMK'!$P$4,0),IF('Bobot CPMK'!$B$5='Peta CPL'!$A$17,N(E10)*'Bobot CPMK'!$P$5,0),IF('Bobot CPMK'!$B$6='Peta CPL'!$A$17,N(F10)*'Bobot CPMK'!$P$6,0),IF('Bobot CPMK'!$B$7='Peta CPL'!$A$17,N(G10)*'Bobot CPMK'!$P$7,0),IF('Bobot CPMK'!$B$8='Peta CPL'!$A$17,N(H10)*'Bobot CPMK'!$P$8,0),IF('Bobot CPMK'!$B$9='Peta CPL'!$A$17,N(I10)*'Bobot CPMK'!$P$9,0),IF('Bobot CPMK'!$B$10='Peta CPL'!$A$17,N(J10)*'Bobot CPMK'!$P$10,0),IF('Bobot CPMK'!$B$11='Peta CPL'!$A$17,N(K10)*'Bobot CPMK'!$P$11,0))/SUM(IF('Bobot CPMK'!$B$4='Peta CPL'!$A$17,'Bobot CPMK'!$P$4,0),IF('Bobot CPMK'!$B$5='Peta CPL'!$A$17,'Bobot CPMK'!$P$5,0),IF('Bobot CPMK'!$B$6='Peta CPL'!$A$17,'Bobot CPMK'!$P$6,0),IF('Bobot CPMK'!$B$7='Peta CPL'!$A$17,'Bobot CPMK'!$P$7,0),IF('Bobot CPMK'!$B$8='Peta CPL'!$A$17,'Bobot CPMK'!$P$8,0),IF('Bobot CPMK'!$B$9='Peta CPL'!$A$17,'Bobot CPMK'!$P$9,0),IF('Bobot CPMK'!$B$10='Peta CPL'!$A$17,'Bobot CPMK'!$P$10,0),IF('Bobot CPMK'!$B$11='Peta CPL'!$A$17,'Bobot CPMK'!$P$11,0)),""))</f>
        <v/>
      </c>
      <c r="P10" s="7">
        <f>IF(OR($B10="",'Peta CPL'!$A$18=""),"",IFERROR(SUM(IF('Bobot CPMK'!$B$4='Peta CPL'!$A$18,N(D10)*'Bobot CPMK'!$P$4,0),IF('Bobot CPMK'!$B$5='Peta CPL'!$A$18,N(E10)*'Bobot CPMK'!$P$5,0),IF('Bobot CPMK'!$B$6='Peta CPL'!$A$18,N(F10)*'Bobot CPMK'!$P$6,0),IF('Bobot CPMK'!$B$7='Peta CPL'!$A$18,N(G10)*'Bobot CPMK'!$P$7,0),IF('Bobot CPMK'!$B$8='Peta CPL'!$A$18,N(H10)*'Bobot CPMK'!$P$8,0),IF('Bobot CPMK'!$B$9='Peta CPL'!$A$18,N(I10)*'Bobot CPMK'!$P$9,0),IF('Bobot CPMK'!$B$10='Peta CPL'!$A$18,N(J10)*'Bobot CPMK'!$P$10,0),IF('Bobot CPMK'!$B$11='Peta CPL'!$A$18,N(K10)*'Bobot CPMK'!$P$11,0))/SUM(IF('Bobot CPMK'!$B$4='Peta CPL'!$A$18,'Bobot CPMK'!$P$4,0),IF('Bobot CPMK'!$B$5='Peta CPL'!$A$18,'Bobot CPMK'!$P$5,0),IF('Bobot CPMK'!$B$6='Peta CPL'!$A$18,'Bobot CPMK'!$P$6,0),IF('Bobot CPMK'!$B$7='Peta CPL'!$A$18,'Bobot CPMK'!$P$7,0),IF('Bobot CPMK'!$B$8='Peta CPL'!$A$18,'Bobot CPMK'!$P$8,0),IF('Bobot CPMK'!$B$9='Peta CPL'!$A$18,'Bobot CPMK'!$P$9,0),IF('Bobot CPMK'!$B$10='Peta CPL'!$A$18,'Bobot CPMK'!$P$10,0),IF('Bobot CPMK'!$B$11='Peta CPL'!$A$18,'Bobot CPMK'!$P$11,0)),""))</f>
        <v/>
      </c>
      <c r="Q10" s="7">
        <f>IF(OR($B10="",'Peta CPL'!$A$19=""),"",IFERROR(SUM(IF('Bobot CPMK'!$B$4='Peta CPL'!$A$19,N(D10)*'Bobot CPMK'!$P$4,0),IF('Bobot CPMK'!$B$5='Peta CPL'!$A$19,N(E10)*'Bobot CPMK'!$P$5,0),IF('Bobot CPMK'!$B$6='Peta CPL'!$A$19,N(F10)*'Bobot CPMK'!$P$6,0),IF('Bobot CPMK'!$B$7='Peta CPL'!$A$19,N(G10)*'Bobot CPMK'!$P$7,0),IF('Bobot CPMK'!$B$8='Peta CPL'!$A$19,N(H10)*'Bobot CPMK'!$P$8,0),IF('Bobot CPMK'!$B$9='Peta CPL'!$A$19,N(I10)*'Bobot CPMK'!$P$9,0),IF('Bobot CPMK'!$B$10='Peta CPL'!$A$19,N(J10)*'Bobot CPMK'!$P$10,0),IF('Bobot CPMK'!$B$11='Peta CPL'!$A$19,N(K10)*'Bobot CPMK'!$P$11,0))/SUM(IF('Bobot CPMK'!$B$4='Peta CPL'!$A$19,'Bobot CPMK'!$P$4,0),IF('Bobot CPMK'!$B$5='Peta CPL'!$A$19,'Bobot CPMK'!$P$5,0),IF('Bobot CPMK'!$B$6='Peta CPL'!$A$19,'Bobot CPMK'!$P$6,0),IF('Bobot CPMK'!$B$7='Peta CPL'!$A$19,'Bobot CPMK'!$P$7,0),IF('Bobot CPMK'!$B$8='Peta CPL'!$A$19,'Bobot CPMK'!$P$8,0),IF('Bobot CPMK'!$B$9='Peta CPL'!$A$19,'Bobot CPMK'!$P$9,0),IF('Bobot CPMK'!$B$10='Peta CPL'!$A$19,'Bobot CPMK'!$P$10,0),IF('Bobot CPMK'!$B$11='Peta CPL'!$A$19,'Bobot CPMK'!$P$11,0)),""))</f>
        <v/>
      </c>
      <c r="R10" s="7">
        <f>IF(OR($B10="",'Peta CPL'!$A$20=""),"",IFERROR(SUM(IF('Bobot CPMK'!$B$4='Peta CPL'!$A$20,N(D10)*'Bobot CPMK'!$P$4,0),IF('Bobot CPMK'!$B$5='Peta CPL'!$A$20,N(E10)*'Bobot CPMK'!$P$5,0),IF('Bobot CPMK'!$B$6='Peta CPL'!$A$20,N(F10)*'Bobot CPMK'!$P$6,0),IF('Bobot CPMK'!$B$7='Peta CPL'!$A$20,N(G10)*'Bobot CPMK'!$P$7,0),IF('Bobot CPMK'!$B$8='Peta CPL'!$A$20,N(H10)*'Bobot CPMK'!$P$8,0),IF('Bobot CPMK'!$B$9='Peta CPL'!$A$20,N(I10)*'Bobot CPMK'!$P$9,0),IF('Bobot CPMK'!$B$10='Peta CPL'!$A$20,N(J10)*'Bobot CPMK'!$P$10,0),IF('Bobot CPMK'!$B$11='Peta CPL'!$A$20,N(K10)*'Bobot CPMK'!$P$11,0))/SUM(IF('Bobot CPMK'!$B$4='Peta CPL'!$A$20,'Bobot CPMK'!$P$4,0),IF('Bobot CPMK'!$B$5='Peta CPL'!$A$20,'Bobot CPMK'!$P$5,0),IF('Bobot CPMK'!$B$6='Peta CPL'!$A$20,'Bobot CPMK'!$P$6,0),IF('Bobot CPMK'!$B$7='Peta CPL'!$A$20,'Bobot CPMK'!$P$7,0),IF('Bobot CPMK'!$B$8='Peta CPL'!$A$20,'Bobot CPMK'!$P$8,0),IF('Bobot CPMK'!$B$9='Peta CPL'!$A$20,'Bobot CPMK'!$P$9,0),IF('Bobot CPMK'!$B$10='Peta CPL'!$A$20,'Bobot CPMK'!$P$10,0),IF('Bobot CPMK'!$B$11='Peta CPL'!$A$20,'Bobot CPMK'!$P$11,0)),""))</f>
        <v/>
      </c>
      <c r="S10" s="7">
        <f>IF(OR($B10="",'Peta CPL'!$A$21=""),"",IFERROR(SUM(IF('Bobot CPMK'!$B$4='Peta CPL'!$A$21,N(D10)*'Bobot CPMK'!$P$4,0),IF('Bobot CPMK'!$B$5='Peta CPL'!$A$21,N(E10)*'Bobot CPMK'!$P$5,0),IF('Bobot CPMK'!$B$6='Peta CPL'!$A$21,N(F10)*'Bobot CPMK'!$P$6,0),IF('Bobot CPMK'!$B$7='Peta CPL'!$A$21,N(G10)*'Bobot CPMK'!$P$7,0),IF('Bobot CPMK'!$B$8='Peta CPL'!$A$21,N(H10)*'Bobot CPMK'!$P$8,0),IF('Bobot CPMK'!$B$9='Peta CPL'!$A$21,N(I10)*'Bobot CPMK'!$P$9,0),IF('Bobot CPMK'!$B$10='Peta CPL'!$A$21,N(J10)*'Bobot CPMK'!$P$10,0),IF('Bobot CPMK'!$B$11='Peta CPL'!$A$21,N(K10)*'Bobot CPMK'!$P$11,0))/SUM(IF('Bobot CPMK'!$B$4='Peta CPL'!$A$21,'Bobot CPMK'!$P$4,0),IF('Bobot CPMK'!$B$5='Peta CPL'!$A$21,'Bobot CPMK'!$P$5,0),IF('Bobot CPMK'!$B$6='Peta CPL'!$A$21,'Bobot CPMK'!$P$6,0),IF('Bobot CPMK'!$B$7='Peta CPL'!$A$21,'Bobot CPMK'!$P$7,0),IF('Bobot CPMK'!$B$8='Peta CPL'!$A$21,'Bobot CPMK'!$P$8,0),IF('Bobot CPMK'!$B$9='Peta CPL'!$A$21,'Bobot CPMK'!$P$9,0),IF('Bobot CPMK'!$B$10='Peta CPL'!$A$21,'Bobot CPMK'!$P$10,0),IF('Bobot CPMK'!$B$11='Peta CPL'!$A$21,'Bobot CPMK'!$P$11,0)),""))</f>
        <v/>
      </c>
      <c r="T10" s="7">
        <f>IF(OR($B10="",'Peta CPL'!$A$5=""),"",IFERROR((N(L10)*N('Peta CPL'!$C$14)*N('Peta CPL'!$D$14)+N(M10)*N('Peta CPL'!$C$15)*N('Peta CPL'!$D$15)+N(N10)*N('Peta CPL'!$C$16)*N('Peta CPL'!$D$16)+N(O10)*N('Peta CPL'!$C$17)*N('Peta CPL'!$D$17)+N(P10)*N('Peta CPL'!$C$18)*N('Peta CPL'!$D$18)+N(Q10)*N('Peta CPL'!$C$19)*N('Peta CPL'!$D$19)+N(R10)*N('Peta CPL'!$C$20)*N('Peta CPL'!$D$20)+N(S10)*N('Peta CPL'!$C$21)*N('Peta CPL'!$D$21))/(N('Peta CPL'!$C$14)*N('Peta CPL'!$D$14)+N('Peta CPL'!$C$15)*N('Peta CPL'!$D$15)+N('Peta CPL'!$C$16)*N('Peta CPL'!$D$16)+N('Peta CPL'!$C$17)*N('Peta CPL'!$D$17)+N('Peta CPL'!$C$18)*N('Peta CPL'!$D$18)+N('Peta CPL'!$C$19)*N('Peta CPL'!$D$19)+N('Peta CPL'!$C$20)*N('Peta CPL'!$D$20)+N('Peta CPL'!$C$21)*N('Peta CPL'!$D$21)),""))</f>
        <v/>
      </c>
      <c r="U10" s="7">
        <f>IF(OR($B10="",'Peta CPL'!$A$6=""),"",IFERROR((N(L10)*N('Peta CPL'!$C$14)*N('Peta CPL'!$E$14)+N(M10)*N('Peta CPL'!$C$15)*N('Peta CPL'!$E$15)+N(N10)*N('Peta CPL'!$C$16)*N('Peta CPL'!$E$16)+N(O10)*N('Peta CPL'!$C$17)*N('Peta CPL'!$E$17)+N(P10)*N('Peta CPL'!$C$18)*N('Peta CPL'!$E$18)+N(Q10)*N('Peta CPL'!$C$19)*N('Peta CPL'!$E$19)+N(R10)*N('Peta CPL'!$C$20)*N('Peta CPL'!$E$20)+N(S10)*N('Peta CPL'!$C$21)*N('Peta CPL'!$E$21))/(N('Peta CPL'!$C$14)*N('Peta CPL'!$E$14)+N('Peta CPL'!$C$15)*N('Peta CPL'!$E$15)+N('Peta CPL'!$C$16)*N('Peta CPL'!$E$16)+N('Peta CPL'!$C$17)*N('Peta CPL'!$E$17)+N('Peta CPL'!$C$18)*N('Peta CPL'!$E$18)+N('Peta CPL'!$C$19)*N('Peta CPL'!$E$19)+N('Peta CPL'!$C$20)*N('Peta CPL'!$E$20)+N('Peta CPL'!$C$21)*N('Peta CPL'!$E$21)),""))</f>
        <v/>
      </c>
      <c r="V10" s="7">
        <f>IF(OR($B10="",'Peta CPL'!$A$7=""),"",IFERROR((N(L10)*N('Peta CPL'!$C$14)*N('Peta CPL'!$F$14)+N(M10)*N('Peta CPL'!$C$15)*N('Peta CPL'!$F$15)+N(N10)*N('Peta CPL'!$C$16)*N('Peta CPL'!$F$16)+N(O10)*N('Peta CPL'!$C$17)*N('Peta CPL'!$F$17)+N(P10)*N('Peta CPL'!$C$18)*N('Peta CPL'!$F$18)+N(Q10)*N('Peta CPL'!$C$19)*N('Peta CPL'!$F$19)+N(R10)*N('Peta CPL'!$C$20)*N('Peta CPL'!$F$20)+N(S10)*N('Peta CPL'!$C$21)*N('Peta CPL'!$F$21))/(N('Peta CPL'!$C$14)*N('Peta CPL'!$F$14)+N('Peta CPL'!$C$15)*N('Peta CPL'!$F$15)+N('Peta CPL'!$C$16)*N('Peta CPL'!$F$16)+N('Peta CPL'!$C$17)*N('Peta CPL'!$F$17)+N('Peta CPL'!$C$18)*N('Peta CPL'!$F$18)+N('Peta CPL'!$C$19)*N('Peta CPL'!$F$19)+N('Peta CPL'!$C$20)*N('Peta CPL'!$F$20)+N('Peta CPL'!$C$21)*N('Peta CPL'!$F$21)),""))</f>
        <v/>
      </c>
      <c r="W10" s="7">
        <f>IF(OR($B10="",'Peta CPL'!$A$8=""),"",IFERROR((N(L10)*N('Peta CPL'!$C$14)*N('Peta CPL'!$G$14)+N(M10)*N('Peta CPL'!$C$15)*N('Peta CPL'!$G$15)+N(N10)*N('Peta CPL'!$C$16)*N('Peta CPL'!$G$16)+N(O10)*N('Peta CPL'!$C$17)*N('Peta CPL'!$G$17)+N(P10)*N('Peta CPL'!$C$18)*N('Peta CPL'!$G$18)+N(Q10)*N('Peta CPL'!$C$19)*N('Peta CPL'!$G$19)+N(R10)*N('Peta CPL'!$C$20)*N('Peta CPL'!$G$20)+N(S10)*N('Peta CPL'!$C$21)*N('Peta CPL'!$G$21))/(N('Peta CPL'!$C$14)*N('Peta CPL'!$G$14)+N('Peta CPL'!$C$15)*N('Peta CPL'!$G$15)+N('Peta CPL'!$C$16)*N('Peta CPL'!$G$16)+N('Peta CPL'!$C$17)*N('Peta CPL'!$G$17)+N('Peta CPL'!$C$18)*N('Peta CPL'!$G$18)+N('Peta CPL'!$C$19)*N('Peta CPL'!$G$19)+N('Peta CPL'!$C$20)*N('Peta CPL'!$G$20)+N('Peta CPL'!$C$21)*N('Peta CPL'!$G$21)),""))</f>
        <v/>
      </c>
      <c r="X10" s="7">
        <f>IF(OR($B10="",'Peta CPL'!$A$9=""),"",IFERROR((N(L10)*N('Peta CPL'!$C$14)*N('Peta CPL'!$H$14)+N(M10)*N('Peta CPL'!$C$15)*N('Peta CPL'!$H$15)+N(N10)*N('Peta CPL'!$C$16)*N('Peta CPL'!$H$16)+N(O10)*N('Peta CPL'!$C$17)*N('Peta CPL'!$H$17)+N(P10)*N('Peta CPL'!$C$18)*N('Peta CPL'!$H$18)+N(Q10)*N('Peta CPL'!$C$19)*N('Peta CPL'!$H$19)+N(R10)*N('Peta CPL'!$C$20)*N('Peta CPL'!$H$20)+N(S10)*N('Peta CPL'!$C$21)*N('Peta CPL'!$H$21))/(N('Peta CPL'!$C$14)*N('Peta CPL'!$H$14)+N('Peta CPL'!$C$15)*N('Peta CPL'!$H$15)+N('Peta CPL'!$C$16)*N('Peta CPL'!$H$16)+N('Peta CPL'!$C$17)*N('Peta CPL'!$H$17)+N('Peta CPL'!$C$18)*N('Peta CPL'!$H$18)+N('Peta CPL'!$C$19)*N('Peta CPL'!$H$19)+N('Peta CPL'!$C$20)*N('Peta CPL'!$H$20)+N('Peta CPL'!$C$21)*N('Peta CPL'!$H$21)),""))</f>
        <v/>
      </c>
      <c r="Y10" s="7">
        <f>IF(OR($B10="",'Peta CPL'!$A$10=""),"",IFERROR((N(L10)*N('Peta CPL'!$C$14)*N('Peta CPL'!$I$14)+N(M10)*N('Peta CPL'!$C$15)*N('Peta CPL'!$I$15)+N(N10)*N('Peta CPL'!$C$16)*N('Peta CPL'!$I$16)+N(O10)*N('Peta CPL'!$C$17)*N('Peta CPL'!$I$17)+N(P10)*N('Peta CPL'!$C$18)*N('Peta CPL'!$I$18)+N(Q10)*N('Peta CPL'!$C$19)*N('Peta CPL'!$I$19)+N(R10)*N('Peta CPL'!$C$20)*N('Peta CPL'!$I$20)+N(S10)*N('Peta CPL'!$C$21)*N('Peta CPL'!$I$21))/(N('Peta CPL'!$C$14)*N('Peta CPL'!$I$14)+N('Peta CPL'!$C$15)*N('Peta CPL'!$I$15)+N('Peta CPL'!$C$16)*N('Peta CPL'!$I$16)+N('Peta CPL'!$C$17)*N('Peta CPL'!$I$17)+N('Peta CPL'!$C$18)*N('Peta CPL'!$I$18)+N('Peta CPL'!$C$19)*N('Peta CPL'!$I$19)+N('Peta CPL'!$C$20)*N('Peta CPL'!$I$20)+N('Peta CPL'!$C$21)*N('Peta CPL'!$I$21)),""))</f>
        <v/>
      </c>
      <c r="Z10" s="7">
        <f>IF($B10="","",IFERROR((N(L10)*N('Peta CPL'!$C$14)+N(M10)*N('Peta CPL'!$C$15)+N(N10)*N('Peta CPL'!$C$16)+N(O10)*N('Peta CPL'!$C$17)+N(P10)*N('Peta CPL'!$C$18)+N(Q10)*N('Peta CPL'!$C$19)+N(R10)*N('Peta CPL'!$C$20)+N(S10)*N('Peta CPL'!$C$21))/100,""))</f>
        <v/>
      </c>
    </row>
    <row r="11">
      <c r="A11" s="7">
        <f>'Input Nilai'!A11</f>
        <v/>
      </c>
      <c r="B11" s="7">
        <f>'Input Nilai'!B11</f>
        <v/>
      </c>
      <c r="C11" s="15">
        <f>'Input Nilai'!C11</f>
        <v/>
      </c>
      <c r="D11" s="7">
        <f>IF(OR('Input Nilai'!$B11="",'Bobot CPMK'!$O$4=0),"",(SUMPRODUCT('Input Nilai'!D11:L11,'Bobot CPMK'!$E$4:$M$4)+'Input Nilai'!$BX11*'Bobot CPMK'!$N$4)/'Bobot CPMK'!$O$4)</f>
        <v/>
      </c>
      <c r="E11" s="7">
        <f>IF(OR('Input Nilai'!$B11="",'Bobot CPMK'!$O$5=0),"",(SUMPRODUCT('Input Nilai'!M11:U11,'Bobot CPMK'!$E$5:$M$5)+'Input Nilai'!$BX11*'Bobot CPMK'!$N$5)/'Bobot CPMK'!$O$5)</f>
        <v/>
      </c>
      <c r="F11" s="7">
        <f>IF(OR('Input Nilai'!$B11="",'Bobot CPMK'!$O$6=0),"",(SUMPRODUCT('Input Nilai'!V11:AD11,'Bobot CPMK'!$E$6:$M$6)+'Input Nilai'!$BX11*'Bobot CPMK'!$N$6)/'Bobot CPMK'!$O$6)</f>
        <v/>
      </c>
      <c r="G11" s="7">
        <f>IF(OR('Input Nilai'!$B11="",'Bobot CPMK'!$O$7=0),"",(SUMPRODUCT('Input Nilai'!AE11:AM11,'Bobot CPMK'!$E$7:$M$7)+'Input Nilai'!$BX11*'Bobot CPMK'!$N$7)/'Bobot CPMK'!$O$7)</f>
        <v/>
      </c>
      <c r="H11" s="7">
        <f>IF(OR('Input Nilai'!$B11="",'Bobot CPMK'!$O$8=0),"",(SUMPRODUCT('Input Nilai'!AN11:AV11,'Bobot CPMK'!$E$8:$M$8)+'Input Nilai'!$BX11*'Bobot CPMK'!$N$8)/'Bobot CPMK'!$O$8)</f>
        <v/>
      </c>
      <c r="I11" s="7">
        <f>IF(OR('Input Nilai'!$B11="",'Bobot CPMK'!$O$9=0),"",(SUMPRODUCT('Input Nilai'!AW11:BE11,'Bobot CPMK'!$E$9:$M$9)+'Input Nilai'!$BX11*'Bobot CPMK'!$N$9)/'Bobot CPMK'!$O$9)</f>
        <v/>
      </c>
      <c r="J11" s="7">
        <f>IF(OR('Input Nilai'!$B11="",'Bobot CPMK'!$O$10=0),"",(SUMPRODUCT('Input Nilai'!BF11:BN11,'Bobot CPMK'!$E$10:$M$10)+'Input Nilai'!$BX11*'Bobot CPMK'!$N$10)/'Bobot CPMK'!$O$10)</f>
        <v/>
      </c>
      <c r="K11" s="7">
        <f>IF(OR('Input Nilai'!$B11="",'Bobot CPMK'!$O$11=0),"",(SUMPRODUCT('Input Nilai'!BO11:BW11,'Bobot CPMK'!$E$11:$M$11)+'Input Nilai'!$BX11*'Bobot CPMK'!$N$11)/'Bobot CPMK'!$O$11)</f>
        <v/>
      </c>
      <c r="L11" s="7">
        <f>IF(OR($B11="",'Peta CPL'!$A$14=""),"",IFERROR(SUM(IF('Bobot CPMK'!$B$4='Peta CPL'!$A$14,N(D11)*'Bobot CPMK'!$P$4,0),IF('Bobot CPMK'!$B$5='Peta CPL'!$A$14,N(E11)*'Bobot CPMK'!$P$5,0),IF('Bobot CPMK'!$B$6='Peta CPL'!$A$14,N(F11)*'Bobot CPMK'!$P$6,0),IF('Bobot CPMK'!$B$7='Peta CPL'!$A$14,N(G11)*'Bobot CPMK'!$P$7,0),IF('Bobot CPMK'!$B$8='Peta CPL'!$A$14,N(H11)*'Bobot CPMK'!$P$8,0),IF('Bobot CPMK'!$B$9='Peta CPL'!$A$14,N(I11)*'Bobot CPMK'!$P$9,0),IF('Bobot CPMK'!$B$10='Peta CPL'!$A$14,N(J11)*'Bobot CPMK'!$P$10,0),IF('Bobot CPMK'!$B$11='Peta CPL'!$A$14,N(K11)*'Bobot CPMK'!$P$11,0))/SUM(IF('Bobot CPMK'!$B$4='Peta CPL'!$A$14,'Bobot CPMK'!$P$4,0),IF('Bobot CPMK'!$B$5='Peta CPL'!$A$14,'Bobot CPMK'!$P$5,0),IF('Bobot CPMK'!$B$6='Peta CPL'!$A$14,'Bobot CPMK'!$P$6,0),IF('Bobot CPMK'!$B$7='Peta CPL'!$A$14,'Bobot CPMK'!$P$7,0),IF('Bobot CPMK'!$B$8='Peta CPL'!$A$14,'Bobot CPMK'!$P$8,0),IF('Bobot CPMK'!$B$9='Peta CPL'!$A$14,'Bobot CPMK'!$P$9,0),IF('Bobot CPMK'!$B$10='Peta CPL'!$A$14,'Bobot CPMK'!$P$10,0),IF('Bobot CPMK'!$B$11='Peta CPL'!$A$14,'Bobot CPMK'!$P$11,0)),""))</f>
        <v/>
      </c>
      <c r="M11" s="7">
        <f>IF(OR($B11="",'Peta CPL'!$A$15=""),"",IFERROR(SUM(IF('Bobot CPMK'!$B$4='Peta CPL'!$A$15,N(D11)*'Bobot CPMK'!$P$4,0),IF('Bobot CPMK'!$B$5='Peta CPL'!$A$15,N(E11)*'Bobot CPMK'!$P$5,0),IF('Bobot CPMK'!$B$6='Peta CPL'!$A$15,N(F11)*'Bobot CPMK'!$P$6,0),IF('Bobot CPMK'!$B$7='Peta CPL'!$A$15,N(G11)*'Bobot CPMK'!$P$7,0),IF('Bobot CPMK'!$B$8='Peta CPL'!$A$15,N(H11)*'Bobot CPMK'!$P$8,0),IF('Bobot CPMK'!$B$9='Peta CPL'!$A$15,N(I11)*'Bobot CPMK'!$P$9,0),IF('Bobot CPMK'!$B$10='Peta CPL'!$A$15,N(J11)*'Bobot CPMK'!$P$10,0),IF('Bobot CPMK'!$B$11='Peta CPL'!$A$15,N(K11)*'Bobot CPMK'!$P$11,0))/SUM(IF('Bobot CPMK'!$B$4='Peta CPL'!$A$15,'Bobot CPMK'!$P$4,0),IF('Bobot CPMK'!$B$5='Peta CPL'!$A$15,'Bobot CPMK'!$P$5,0),IF('Bobot CPMK'!$B$6='Peta CPL'!$A$15,'Bobot CPMK'!$P$6,0),IF('Bobot CPMK'!$B$7='Peta CPL'!$A$15,'Bobot CPMK'!$P$7,0),IF('Bobot CPMK'!$B$8='Peta CPL'!$A$15,'Bobot CPMK'!$P$8,0),IF('Bobot CPMK'!$B$9='Peta CPL'!$A$15,'Bobot CPMK'!$P$9,0),IF('Bobot CPMK'!$B$10='Peta CPL'!$A$15,'Bobot CPMK'!$P$10,0),IF('Bobot CPMK'!$B$11='Peta CPL'!$A$15,'Bobot CPMK'!$P$11,0)),""))</f>
        <v/>
      </c>
      <c r="N11" s="7">
        <f>IF(OR($B11="",'Peta CPL'!$A$16=""),"",IFERROR(SUM(IF('Bobot CPMK'!$B$4='Peta CPL'!$A$16,N(D11)*'Bobot CPMK'!$P$4,0),IF('Bobot CPMK'!$B$5='Peta CPL'!$A$16,N(E11)*'Bobot CPMK'!$P$5,0),IF('Bobot CPMK'!$B$6='Peta CPL'!$A$16,N(F11)*'Bobot CPMK'!$P$6,0),IF('Bobot CPMK'!$B$7='Peta CPL'!$A$16,N(G11)*'Bobot CPMK'!$P$7,0),IF('Bobot CPMK'!$B$8='Peta CPL'!$A$16,N(H11)*'Bobot CPMK'!$P$8,0),IF('Bobot CPMK'!$B$9='Peta CPL'!$A$16,N(I11)*'Bobot CPMK'!$P$9,0),IF('Bobot CPMK'!$B$10='Peta CPL'!$A$16,N(J11)*'Bobot CPMK'!$P$10,0),IF('Bobot CPMK'!$B$11='Peta CPL'!$A$16,N(K11)*'Bobot CPMK'!$P$11,0))/SUM(IF('Bobot CPMK'!$B$4='Peta CPL'!$A$16,'Bobot CPMK'!$P$4,0),IF('Bobot CPMK'!$B$5='Peta CPL'!$A$16,'Bobot CPMK'!$P$5,0),IF('Bobot CPMK'!$B$6='Peta CPL'!$A$16,'Bobot CPMK'!$P$6,0),IF('Bobot CPMK'!$B$7='Peta CPL'!$A$16,'Bobot CPMK'!$P$7,0),IF('Bobot CPMK'!$B$8='Peta CPL'!$A$16,'Bobot CPMK'!$P$8,0),IF('Bobot CPMK'!$B$9='Peta CPL'!$A$16,'Bobot CPMK'!$P$9,0),IF('Bobot CPMK'!$B$10='Peta CPL'!$A$16,'Bobot CPMK'!$P$10,0),IF('Bobot CPMK'!$B$11='Peta CPL'!$A$16,'Bobot CPMK'!$P$11,0)),""))</f>
        <v/>
      </c>
      <c r="O11" s="7">
        <f>IF(OR($B11="",'Peta CPL'!$A$17=""),"",IFERROR(SUM(IF('Bobot CPMK'!$B$4='Peta CPL'!$A$17,N(D11)*'Bobot CPMK'!$P$4,0),IF('Bobot CPMK'!$B$5='Peta CPL'!$A$17,N(E11)*'Bobot CPMK'!$P$5,0),IF('Bobot CPMK'!$B$6='Peta CPL'!$A$17,N(F11)*'Bobot CPMK'!$P$6,0),IF('Bobot CPMK'!$B$7='Peta CPL'!$A$17,N(G11)*'Bobot CPMK'!$P$7,0),IF('Bobot CPMK'!$B$8='Peta CPL'!$A$17,N(H11)*'Bobot CPMK'!$P$8,0),IF('Bobot CPMK'!$B$9='Peta CPL'!$A$17,N(I11)*'Bobot CPMK'!$P$9,0),IF('Bobot CPMK'!$B$10='Peta CPL'!$A$17,N(J11)*'Bobot CPMK'!$P$10,0),IF('Bobot CPMK'!$B$11='Peta CPL'!$A$17,N(K11)*'Bobot CPMK'!$P$11,0))/SUM(IF('Bobot CPMK'!$B$4='Peta CPL'!$A$17,'Bobot CPMK'!$P$4,0),IF('Bobot CPMK'!$B$5='Peta CPL'!$A$17,'Bobot CPMK'!$P$5,0),IF('Bobot CPMK'!$B$6='Peta CPL'!$A$17,'Bobot CPMK'!$P$6,0),IF('Bobot CPMK'!$B$7='Peta CPL'!$A$17,'Bobot CPMK'!$P$7,0),IF('Bobot CPMK'!$B$8='Peta CPL'!$A$17,'Bobot CPMK'!$P$8,0),IF('Bobot CPMK'!$B$9='Peta CPL'!$A$17,'Bobot CPMK'!$P$9,0),IF('Bobot CPMK'!$B$10='Peta CPL'!$A$17,'Bobot CPMK'!$P$10,0),IF('Bobot CPMK'!$B$11='Peta CPL'!$A$17,'Bobot CPMK'!$P$11,0)),""))</f>
        <v/>
      </c>
      <c r="P11" s="7">
        <f>IF(OR($B11="",'Peta CPL'!$A$18=""),"",IFERROR(SUM(IF('Bobot CPMK'!$B$4='Peta CPL'!$A$18,N(D11)*'Bobot CPMK'!$P$4,0),IF('Bobot CPMK'!$B$5='Peta CPL'!$A$18,N(E11)*'Bobot CPMK'!$P$5,0),IF('Bobot CPMK'!$B$6='Peta CPL'!$A$18,N(F11)*'Bobot CPMK'!$P$6,0),IF('Bobot CPMK'!$B$7='Peta CPL'!$A$18,N(G11)*'Bobot CPMK'!$P$7,0),IF('Bobot CPMK'!$B$8='Peta CPL'!$A$18,N(H11)*'Bobot CPMK'!$P$8,0),IF('Bobot CPMK'!$B$9='Peta CPL'!$A$18,N(I11)*'Bobot CPMK'!$P$9,0),IF('Bobot CPMK'!$B$10='Peta CPL'!$A$18,N(J11)*'Bobot CPMK'!$P$10,0),IF('Bobot CPMK'!$B$11='Peta CPL'!$A$18,N(K11)*'Bobot CPMK'!$P$11,0))/SUM(IF('Bobot CPMK'!$B$4='Peta CPL'!$A$18,'Bobot CPMK'!$P$4,0),IF('Bobot CPMK'!$B$5='Peta CPL'!$A$18,'Bobot CPMK'!$P$5,0),IF('Bobot CPMK'!$B$6='Peta CPL'!$A$18,'Bobot CPMK'!$P$6,0),IF('Bobot CPMK'!$B$7='Peta CPL'!$A$18,'Bobot CPMK'!$P$7,0),IF('Bobot CPMK'!$B$8='Peta CPL'!$A$18,'Bobot CPMK'!$P$8,0),IF('Bobot CPMK'!$B$9='Peta CPL'!$A$18,'Bobot CPMK'!$P$9,0),IF('Bobot CPMK'!$B$10='Peta CPL'!$A$18,'Bobot CPMK'!$P$10,0),IF('Bobot CPMK'!$B$11='Peta CPL'!$A$18,'Bobot CPMK'!$P$11,0)),""))</f>
        <v/>
      </c>
      <c r="Q11" s="7">
        <f>IF(OR($B11="",'Peta CPL'!$A$19=""),"",IFERROR(SUM(IF('Bobot CPMK'!$B$4='Peta CPL'!$A$19,N(D11)*'Bobot CPMK'!$P$4,0),IF('Bobot CPMK'!$B$5='Peta CPL'!$A$19,N(E11)*'Bobot CPMK'!$P$5,0),IF('Bobot CPMK'!$B$6='Peta CPL'!$A$19,N(F11)*'Bobot CPMK'!$P$6,0),IF('Bobot CPMK'!$B$7='Peta CPL'!$A$19,N(G11)*'Bobot CPMK'!$P$7,0),IF('Bobot CPMK'!$B$8='Peta CPL'!$A$19,N(H11)*'Bobot CPMK'!$P$8,0),IF('Bobot CPMK'!$B$9='Peta CPL'!$A$19,N(I11)*'Bobot CPMK'!$P$9,0),IF('Bobot CPMK'!$B$10='Peta CPL'!$A$19,N(J11)*'Bobot CPMK'!$P$10,0),IF('Bobot CPMK'!$B$11='Peta CPL'!$A$19,N(K11)*'Bobot CPMK'!$P$11,0))/SUM(IF('Bobot CPMK'!$B$4='Peta CPL'!$A$19,'Bobot CPMK'!$P$4,0),IF('Bobot CPMK'!$B$5='Peta CPL'!$A$19,'Bobot CPMK'!$P$5,0),IF('Bobot CPMK'!$B$6='Peta CPL'!$A$19,'Bobot CPMK'!$P$6,0),IF('Bobot CPMK'!$B$7='Peta CPL'!$A$19,'Bobot CPMK'!$P$7,0),IF('Bobot CPMK'!$B$8='Peta CPL'!$A$19,'Bobot CPMK'!$P$8,0),IF('Bobot CPMK'!$B$9='Peta CPL'!$A$19,'Bobot CPMK'!$P$9,0),IF('Bobot CPMK'!$B$10='Peta CPL'!$A$19,'Bobot CPMK'!$P$10,0),IF('Bobot CPMK'!$B$11='Peta CPL'!$A$19,'Bobot CPMK'!$P$11,0)),""))</f>
        <v/>
      </c>
      <c r="R11" s="7">
        <f>IF(OR($B11="",'Peta CPL'!$A$20=""),"",IFERROR(SUM(IF('Bobot CPMK'!$B$4='Peta CPL'!$A$20,N(D11)*'Bobot CPMK'!$P$4,0),IF('Bobot CPMK'!$B$5='Peta CPL'!$A$20,N(E11)*'Bobot CPMK'!$P$5,0),IF('Bobot CPMK'!$B$6='Peta CPL'!$A$20,N(F11)*'Bobot CPMK'!$P$6,0),IF('Bobot CPMK'!$B$7='Peta CPL'!$A$20,N(G11)*'Bobot CPMK'!$P$7,0),IF('Bobot CPMK'!$B$8='Peta CPL'!$A$20,N(H11)*'Bobot CPMK'!$P$8,0),IF('Bobot CPMK'!$B$9='Peta CPL'!$A$20,N(I11)*'Bobot CPMK'!$P$9,0),IF('Bobot CPMK'!$B$10='Peta CPL'!$A$20,N(J11)*'Bobot CPMK'!$P$10,0),IF('Bobot CPMK'!$B$11='Peta CPL'!$A$20,N(K11)*'Bobot CPMK'!$P$11,0))/SUM(IF('Bobot CPMK'!$B$4='Peta CPL'!$A$20,'Bobot CPMK'!$P$4,0),IF('Bobot CPMK'!$B$5='Peta CPL'!$A$20,'Bobot CPMK'!$P$5,0),IF('Bobot CPMK'!$B$6='Peta CPL'!$A$20,'Bobot CPMK'!$P$6,0),IF('Bobot CPMK'!$B$7='Peta CPL'!$A$20,'Bobot CPMK'!$P$7,0),IF('Bobot CPMK'!$B$8='Peta CPL'!$A$20,'Bobot CPMK'!$P$8,0),IF('Bobot CPMK'!$B$9='Peta CPL'!$A$20,'Bobot CPMK'!$P$9,0),IF('Bobot CPMK'!$B$10='Peta CPL'!$A$20,'Bobot CPMK'!$P$10,0),IF('Bobot CPMK'!$B$11='Peta CPL'!$A$20,'Bobot CPMK'!$P$11,0)),""))</f>
        <v/>
      </c>
      <c r="S11" s="7">
        <f>IF(OR($B11="",'Peta CPL'!$A$21=""),"",IFERROR(SUM(IF('Bobot CPMK'!$B$4='Peta CPL'!$A$21,N(D11)*'Bobot CPMK'!$P$4,0),IF('Bobot CPMK'!$B$5='Peta CPL'!$A$21,N(E11)*'Bobot CPMK'!$P$5,0),IF('Bobot CPMK'!$B$6='Peta CPL'!$A$21,N(F11)*'Bobot CPMK'!$P$6,0),IF('Bobot CPMK'!$B$7='Peta CPL'!$A$21,N(G11)*'Bobot CPMK'!$P$7,0),IF('Bobot CPMK'!$B$8='Peta CPL'!$A$21,N(H11)*'Bobot CPMK'!$P$8,0),IF('Bobot CPMK'!$B$9='Peta CPL'!$A$21,N(I11)*'Bobot CPMK'!$P$9,0),IF('Bobot CPMK'!$B$10='Peta CPL'!$A$21,N(J11)*'Bobot CPMK'!$P$10,0),IF('Bobot CPMK'!$B$11='Peta CPL'!$A$21,N(K11)*'Bobot CPMK'!$P$11,0))/SUM(IF('Bobot CPMK'!$B$4='Peta CPL'!$A$21,'Bobot CPMK'!$P$4,0),IF('Bobot CPMK'!$B$5='Peta CPL'!$A$21,'Bobot CPMK'!$P$5,0),IF('Bobot CPMK'!$B$6='Peta CPL'!$A$21,'Bobot CPMK'!$P$6,0),IF('Bobot CPMK'!$B$7='Peta CPL'!$A$21,'Bobot CPMK'!$P$7,0),IF('Bobot CPMK'!$B$8='Peta CPL'!$A$21,'Bobot CPMK'!$P$8,0),IF('Bobot CPMK'!$B$9='Peta CPL'!$A$21,'Bobot CPMK'!$P$9,0),IF('Bobot CPMK'!$B$10='Peta CPL'!$A$21,'Bobot CPMK'!$P$10,0),IF('Bobot CPMK'!$B$11='Peta CPL'!$A$21,'Bobot CPMK'!$P$11,0)),""))</f>
        <v/>
      </c>
      <c r="T11" s="7">
        <f>IF(OR($B11="",'Peta CPL'!$A$5=""),"",IFERROR((N(L11)*N('Peta CPL'!$C$14)*N('Peta CPL'!$D$14)+N(M11)*N('Peta CPL'!$C$15)*N('Peta CPL'!$D$15)+N(N11)*N('Peta CPL'!$C$16)*N('Peta CPL'!$D$16)+N(O11)*N('Peta CPL'!$C$17)*N('Peta CPL'!$D$17)+N(P11)*N('Peta CPL'!$C$18)*N('Peta CPL'!$D$18)+N(Q11)*N('Peta CPL'!$C$19)*N('Peta CPL'!$D$19)+N(R11)*N('Peta CPL'!$C$20)*N('Peta CPL'!$D$20)+N(S11)*N('Peta CPL'!$C$21)*N('Peta CPL'!$D$21))/(N('Peta CPL'!$C$14)*N('Peta CPL'!$D$14)+N('Peta CPL'!$C$15)*N('Peta CPL'!$D$15)+N('Peta CPL'!$C$16)*N('Peta CPL'!$D$16)+N('Peta CPL'!$C$17)*N('Peta CPL'!$D$17)+N('Peta CPL'!$C$18)*N('Peta CPL'!$D$18)+N('Peta CPL'!$C$19)*N('Peta CPL'!$D$19)+N('Peta CPL'!$C$20)*N('Peta CPL'!$D$20)+N('Peta CPL'!$C$21)*N('Peta CPL'!$D$21)),""))</f>
        <v/>
      </c>
      <c r="U11" s="7">
        <f>IF(OR($B11="",'Peta CPL'!$A$6=""),"",IFERROR((N(L11)*N('Peta CPL'!$C$14)*N('Peta CPL'!$E$14)+N(M11)*N('Peta CPL'!$C$15)*N('Peta CPL'!$E$15)+N(N11)*N('Peta CPL'!$C$16)*N('Peta CPL'!$E$16)+N(O11)*N('Peta CPL'!$C$17)*N('Peta CPL'!$E$17)+N(P11)*N('Peta CPL'!$C$18)*N('Peta CPL'!$E$18)+N(Q11)*N('Peta CPL'!$C$19)*N('Peta CPL'!$E$19)+N(R11)*N('Peta CPL'!$C$20)*N('Peta CPL'!$E$20)+N(S11)*N('Peta CPL'!$C$21)*N('Peta CPL'!$E$21))/(N('Peta CPL'!$C$14)*N('Peta CPL'!$E$14)+N('Peta CPL'!$C$15)*N('Peta CPL'!$E$15)+N('Peta CPL'!$C$16)*N('Peta CPL'!$E$16)+N('Peta CPL'!$C$17)*N('Peta CPL'!$E$17)+N('Peta CPL'!$C$18)*N('Peta CPL'!$E$18)+N('Peta CPL'!$C$19)*N('Peta CPL'!$E$19)+N('Peta CPL'!$C$20)*N('Peta CPL'!$E$20)+N('Peta CPL'!$C$21)*N('Peta CPL'!$E$21)),""))</f>
        <v/>
      </c>
      <c r="V11" s="7">
        <f>IF(OR($B11="",'Peta CPL'!$A$7=""),"",IFERROR((N(L11)*N('Peta CPL'!$C$14)*N('Peta CPL'!$F$14)+N(M11)*N('Peta CPL'!$C$15)*N('Peta CPL'!$F$15)+N(N11)*N('Peta CPL'!$C$16)*N('Peta CPL'!$F$16)+N(O11)*N('Peta CPL'!$C$17)*N('Peta CPL'!$F$17)+N(P11)*N('Peta CPL'!$C$18)*N('Peta CPL'!$F$18)+N(Q11)*N('Peta CPL'!$C$19)*N('Peta CPL'!$F$19)+N(R11)*N('Peta CPL'!$C$20)*N('Peta CPL'!$F$20)+N(S11)*N('Peta CPL'!$C$21)*N('Peta CPL'!$F$21))/(N('Peta CPL'!$C$14)*N('Peta CPL'!$F$14)+N('Peta CPL'!$C$15)*N('Peta CPL'!$F$15)+N('Peta CPL'!$C$16)*N('Peta CPL'!$F$16)+N('Peta CPL'!$C$17)*N('Peta CPL'!$F$17)+N('Peta CPL'!$C$18)*N('Peta CPL'!$F$18)+N('Peta CPL'!$C$19)*N('Peta CPL'!$F$19)+N('Peta CPL'!$C$20)*N('Peta CPL'!$F$20)+N('Peta CPL'!$C$21)*N('Peta CPL'!$F$21)),""))</f>
        <v/>
      </c>
      <c r="W11" s="7">
        <f>IF(OR($B11="",'Peta CPL'!$A$8=""),"",IFERROR((N(L11)*N('Peta CPL'!$C$14)*N('Peta CPL'!$G$14)+N(M11)*N('Peta CPL'!$C$15)*N('Peta CPL'!$G$15)+N(N11)*N('Peta CPL'!$C$16)*N('Peta CPL'!$G$16)+N(O11)*N('Peta CPL'!$C$17)*N('Peta CPL'!$G$17)+N(P11)*N('Peta CPL'!$C$18)*N('Peta CPL'!$G$18)+N(Q11)*N('Peta CPL'!$C$19)*N('Peta CPL'!$G$19)+N(R11)*N('Peta CPL'!$C$20)*N('Peta CPL'!$G$20)+N(S11)*N('Peta CPL'!$C$21)*N('Peta CPL'!$G$21))/(N('Peta CPL'!$C$14)*N('Peta CPL'!$G$14)+N('Peta CPL'!$C$15)*N('Peta CPL'!$G$15)+N('Peta CPL'!$C$16)*N('Peta CPL'!$G$16)+N('Peta CPL'!$C$17)*N('Peta CPL'!$G$17)+N('Peta CPL'!$C$18)*N('Peta CPL'!$G$18)+N('Peta CPL'!$C$19)*N('Peta CPL'!$G$19)+N('Peta CPL'!$C$20)*N('Peta CPL'!$G$20)+N('Peta CPL'!$C$21)*N('Peta CPL'!$G$21)),""))</f>
        <v/>
      </c>
      <c r="X11" s="7">
        <f>IF(OR($B11="",'Peta CPL'!$A$9=""),"",IFERROR((N(L11)*N('Peta CPL'!$C$14)*N('Peta CPL'!$H$14)+N(M11)*N('Peta CPL'!$C$15)*N('Peta CPL'!$H$15)+N(N11)*N('Peta CPL'!$C$16)*N('Peta CPL'!$H$16)+N(O11)*N('Peta CPL'!$C$17)*N('Peta CPL'!$H$17)+N(P11)*N('Peta CPL'!$C$18)*N('Peta CPL'!$H$18)+N(Q11)*N('Peta CPL'!$C$19)*N('Peta CPL'!$H$19)+N(R11)*N('Peta CPL'!$C$20)*N('Peta CPL'!$H$20)+N(S11)*N('Peta CPL'!$C$21)*N('Peta CPL'!$H$21))/(N('Peta CPL'!$C$14)*N('Peta CPL'!$H$14)+N('Peta CPL'!$C$15)*N('Peta CPL'!$H$15)+N('Peta CPL'!$C$16)*N('Peta CPL'!$H$16)+N('Peta CPL'!$C$17)*N('Peta CPL'!$H$17)+N('Peta CPL'!$C$18)*N('Peta CPL'!$H$18)+N('Peta CPL'!$C$19)*N('Peta CPL'!$H$19)+N('Peta CPL'!$C$20)*N('Peta CPL'!$H$20)+N('Peta CPL'!$C$21)*N('Peta CPL'!$H$21)),""))</f>
        <v/>
      </c>
      <c r="Y11" s="7">
        <f>IF(OR($B11="",'Peta CPL'!$A$10=""),"",IFERROR((N(L11)*N('Peta CPL'!$C$14)*N('Peta CPL'!$I$14)+N(M11)*N('Peta CPL'!$C$15)*N('Peta CPL'!$I$15)+N(N11)*N('Peta CPL'!$C$16)*N('Peta CPL'!$I$16)+N(O11)*N('Peta CPL'!$C$17)*N('Peta CPL'!$I$17)+N(P11)*N('Peta CPL'!$C$18)*N('Peta CPL'!$I$18)+N(Q11)*N('Peta CPL'!$C$19)*N('Peta CPL'!$I$19)+N(R11)*N('Peta CPL'!$C$20)*N('Peta CPL'!$I$20)+N(S11)*N('Peta CPL'!$C$21)*N('Peta CPL'!$I$21))/(N('Peta CPL'!$C$14)*N('Peta CPL'!$I$14)+N('Peta CPL'!$C$15)*N('Peta CPL'!$I$15)+N('Peta CPL'!$C$16)*N('Peta CPL'!$I$16)+N('Peta CPL'!$C$17)*N('Peta CPL'!$I$17)+N('Peta CPL'!$C$18)*N('Peta CPL'!$I$18)+N('Peta CPL'!$C$19)*N('Peta CPL'!$I$19)+N('Peta CPL'!$C$20)*N('Peta CPL'!$I$20)+N('Peta CPL'!$C$21)*N('Peta CPL'!$I$21)),""))</f>
        <v/>
      </c>
      <c r="Z11" s="7">
        <f>IF($B11="","",IFERROR((N(L11)*N('Peta CPL'!$C$14)+N(M11)*N('Peta CPL'!$C$15)+N(N11)*N('Peta CPL'!$C$16)+N(O11)*N('Peta CPL'!$C$17)+N(P11)*N('Peta CPL'!$C$18)+N(Q11)*N('Peta CPL'!$C$19)+N(R11)*N('Peta CPL'!$C$20)+N(S11)*N('Peta CPL'!$C$21))/100,""))</f>
        <v/>
      </c>
    </row>
    <row r="12">
      <c r="A12" s="7">
        <f>'Input Nilai'!A12</f>
        <v/>
      </c>
      <c r="B12" s="7">
        <f>'Input Nilai'!B12</f>
        <v/>
      </c>
      <c r="C12" s="15">
        <f>'Input Nilai'!C12</f>
        <v/>
      </c>
      <c r="D12" s="7">
        <f>IF(OR('Input Nilai'!$B12="",'Bobot CPMK'!$O$4=0),"",(SUMPRODUCT('Input Nilai'!D12:L12,'Bobot CPMK'!$E$4:$M$4)+'Input Nilai'!$BX12*'Bobot CPMK'!$N$4)/'Bobot CPMK'!$O$4)</f>
        <v/>
      </c>
      <c r="E12" s="7">
        <f>IF(OR('Input Nilai'!$B12="",'Bobot CPMK'!$O$5=0),"",(SUMPRODUCT('Input Nilai'!M12:U12,'Bobot CPMK'!$E$5:$M$5)+'Input Nilai'!$BX12*'Bobot CPMK'!$N$5)/'Bobot CPMK'!$O$5)</f>
        <v/>
      </c>
      <c r="F12" s="7">
        <f>IF(OR('Input Nilai'!$B12="",'Bobot CPMK'!$O$6=0),"",(SUMPRODUCT('Input Nilai'!V12:AD12,'Bobot CPMK'!$E$6:$M$6)+'Input Nilai'!$BX12*'Bobot CPMK'!$N$6)/'Bobot CPMK'!$O$6)</f>
        <v/>
      </c>
      <c r="G12" s="7">
        <f>IF(OR('Input Nilai'!$B12="",'Bobot CPMK'!$O$7=0),"",(SUMPRODUCT('Input Nilai'!AE12:AM12,'Bobot CPMK'!$E$7:$M$7)+'Input Nilai'!$BX12*'Bobot CPMK'!$N$7)/'Bobot CPMK'!$O$7)</f>
        <v/>
      </c>
      <c r="H12" s="7">
        <f>IF(OR('Input Nilai'!$B12="",'Bobot CPMK'!$O$8=0),"",(SUMPRODUCT('Input Nilai'!AN12:AV12,'Bobot CPMK'!$E$8:$M$8)+'Input Nilai'!$BX12*'Bobot CPMK'!$N$8)/'Bobot CPMK'!$O$8)</f>
        <v/>
      </c>
      <c r="I12" s="7">
        <f>IF(OR('Input Nilai'!$B12="",'Bobot CPMK'!$O$9=0),"",(SUMPRODUCT('Input Nilai'!AW12:BE12,'Bobot CPMK'!$E$9:$M$9)+'Input Nilai'!$BX12*'Bobot CPMK'!$N$9)/'Bobot CPMK'!$O$9)</f>
        <v/>
      </c>
      <c r="J12" s="7">
        <f>IF(OR('Input Nilai'!$B12="",'Bobot CPMK'!$O$10=0),"",(SUMPRODUCT('Input Nilai'!BF12:BN12,'Bobot CPMK'!$E$10:$M$10)+'Input Nilai'!$BX12*'Bobot CPMK'!$N$10)/'Bobot CPMK'!$O$10)</f>
        <v/>
      </c>
      <c r="K12" s="7">
        <f>IF(OR('Input Nilai'!$B12="",'Bobot CPMK'!$O$11=0),"",(SUMPRODUCT('Input Nilai'!BO12:BW12,'Bobot CPMK'!$E$11:$M$11)+'Input Nilai'!$BX12*'Bobot CPMK'!$N$11)/'Bobot CPMK'!$O$11)</f>
        <v/>
      </c>
      <c r="L12" s="7">
        <f>IF(OR($B12="",'Peta CPL'!$A$14=""),"",IFERROR(SUM(IF('Bobot CPMK'!$B$4='Peta CPL'!$A$14,N(D12)*'Bobot CPMK'!$P$4,0),IF('Bobot CPMK'!$B$5='Peta CPL'!$A$14,N(E12)*'Bobot CPMK'!$P$5,0),IF('Bobot CPMK'!$B$6='Peta CPL'!$A$14,N(F12)*'Bobot CPMK'!$P$6,0),IF('Bobot CPMK'!$B$7='Peta CPL'!$A$14,N(G12)*'Bobot CPMK'!$P$7,0),IF('Bobot CPMK'!$B$8='Peta CPL'!$A$14,N(H12)*'Bobot CPMK'!$P$8,0),IF('Bobot CPMK'!$B$9='Peta CPL'!$A$14,N(I12)*'Bobot CPMK'!$P$9,0),IF('Bobot CPMK'!$B$10='Peta CPL'!$A$14,N(J12)*'Bobot CPMK'!$P$10,0),IF('Bobot CPMK'!$B$11='Peta CPL'!$A$14,N(K12)*'Bobot CPMK'!$P$11,0))/SUM(IF('Bobot CPMK'!$B$4='Peta CPL'!$A$14,'Bobot CPMK'!$P$4,0),IF('Bobot CPMK'!$B$5='Peta CPL'!$A$14,'Bobot CPMK'!$P$5,0),IF('Bobot CPMK'!$B$6='Peta CPL'!$A$14,'Bobot CPMK'!$P$6,0),IF('Bobot CPMK'!$B$7='Peta CPL'!$A$14,'Bobot CPMK'!$P$7,0),IF('Bobot CPMK'!$B$8='Peta CPL'!$A$14,'Bobot CPMK'!$P$8,0),IF('Bobot CPMK'!$B$9='Peta CPL'!$A$14,'Bobot CPMK'!$P$9,0),IF('Bobot CPMK'!$B$10='Peta CPL'!$A$14,'Bobot CPMK'!$P$10,0),IF('Bobot CPMK'!$B$11='Peta CPL'!$A$14,'Bobot CPMK'!$P$11,0)),""))</f>
        <v/>
      </c>
      <c r="M12" s="7">
        <f>IF(OR($B12="",'Peta CPL'!$A$15=""),"",IFERROR(SUM(IF('Bobot CPMK'!$B$4='Peta CPL'!$A$15,N(D12)*'Bobot CPMK'!$P$4,0),IF('Bobot CPMK'!$B$5='Peta CPL'!$A$15,N(E12)*'Bobot CPMK'!$P$5,0),IF('Bobot CPMK'!$B$6='Peta CPL'!$A$15,N(F12)*'Bobot CPMK'!$P$6,0),IF('Bobot CPMK'!$B$7='Peta CPL'!$A$15,N(G12)*'Bobot CPMK'!$P$7,0),IF('Bobot CPMK'!$B$8='Peta CPL'!$A$15,N(H12)*'Bobot CPMK'!$P$8,0),IF('Bobot CPMK'!$B$9='Peta CPL'!$A$15,N(I12)*'Bobot CPMK'!$P$9,0),IF('Bobot CPMK'!$B$10='Peta CPL'!$A$15,N(J12)*'Bobot CPMK'!$P$10,0),IF('Bobot CPMK'!$B$11='Peta CPL'!$A$15,N(K12)*'Bobot CPMK'!$P$11,0))/SUM(IF('Bobot CPMK'!$B$4='Peta CPL'!$A$15,'Bobot CPMK'!$P$4,0),IF('Bobot CPMK'!$B$5='Peta CPL'!$A$15,'Bobot CPMK'!$P$5,0),IF('Bobot CPMK'!$B$6='Peta CPL'!$A$15,'Bobot CPMK'!$P$6,0),IF('Bobot CPMK'!$B$7='Peta CPL'!$A$15,'Bobot CPMK'!$P$7,0),IF('Bobot CPMK'!$B$8='Peta CPL'!$A$15,'Bobot CPMK'!$P$8,0),IF('Bobot CPMK'!$B$9='Peta CPL'!$A$15,'Bobot CPMK'!$P$9,0),IF('Bobot CPMK'!$B$10='Peta CPL'!$A$15,'Bobot CPMK'!$P$10,0),IF('Bobot CPMK'!$B$11='Peta CPL'!$A$15,'Bobot CPMK'!$P$11,0)),""))</f>
        <v/>
      </c>
      <c r="N12" s="7">
        <f>IF(OR($B12="",'Peta CPL'!$A$16=""),"",IFERROR(SUM(IF('Bobot CPMK'!$B$4='Peta CPL'!$A$16,N(D12)*'Bobot CPMK'!$P$4,0),IF('Bobot CPMK'!$B$5='Peta CPL'!$A$16,N(E12)*'Bobot CPMK'!$P$5,0),IF('Bobot CPMK'!$B$6='Peta CPL'!$A$16,N(F12)*'Bobot CPMK'!$P$6,0),IF('Bobot CPMK'!$B$7='Peta CPL'!$A$16,N(G12)*'Bobot CPMK'!$P$7,0),IF('Bobot CPMK'!$B$8='Peta CPL'!$A$16,N(H12)*'Bobot CPMK'!$P$8,0),IF('Bobot CPMK'!$B$9='Peta CPL'!$A$16,N(I12)*'Bobot CPMK'!$P$9,0),IF('Bobot CPMK'!$B$10='Peta CPL'!$A$16,N(J12)*'Bobot CPMK'!$P$10,0),IF('Bobot CPMK'!$B$11='Peta CPL'!$A$16,N(K12)*'Bobot CPMK'!$P$11,0))/SUM(IF('Bobot CPMK'!$B$4='Peta CPL'!$A$16,'Bobot CPMK'!$P$4,0),IF('Bobot CPMK'!$B$5='Peta CPL'!$A$16,'Bobot CPMK'!$P$5,0),IF('Bobot CPMK'!$B$6='Peta CPL'!$A$16,'Bobot CPMK'!$P$6,0),IF('Bobot CPMK'!$B$7='Peta CPL'!$A$16,'Bobot CPMK'!$P$7,0),IF('Bobot CPMK'!$B$8='Peta CPL'!$A$16,'Bobot CPMK'!$P$8,0),IF('Bobot CPMK'!$B$9='Peta CPL'!$A$16,'Bobot CPMK'!$P$9,0),IF('Bobot CPMK'!$B$10='Peta CPL'!$A$16,'Bobot CPMK'!$P$10,0),IF('Bobot CPMK'!$B$11='Peta CPL'!$A$16,'Bobot CPMK'!$P$11,0)),""))</f>
        <v/>
      </c>
      <c r="O12" s="7">
        <f>IF(OR($B12="",'Peta CPL'!$A$17=""),"",IFERROR(SUM(IF('Bobot CPMK'!$B$4='Peta CPL'!$A$17,N(D12)*'Bobot CPMK'!$P$4,0),IF('Bobot CPMK'!$B$5='Peta CPL'!$A$17,N(E12)*'Bobot CPMK'!$P$5,0),IF('Bobot CPMK'!$B$6='Peta CPL'!$A$17,N(F12)*'Bobot CPMK'!$P$6,0),IF('Bobot CPMK'!$B$7='Peta CPL'!$A$17,N(G12)*'Bobot CPMK'!$P$7,0),IF('Bobot CPMK'!$B$8='Peta CPL'!$A$17,N(H12)*'Bobot CPMK'!$P$8,0),IF('Bobot CPMK'!$B$9='Peta CPL'!$A$17,N(I12)*'Bobot CPMK'!$P$9,0),IF('Bobot CPMK'!$B$10='Peta CPL'!$A$17,N(J12)*'Bobot CPMK'!$P$10,0),IF('Bobot CPMK'!$B$11='Peta CPL'!$A$17,N(K12)*'Bobot CPMK'!$P$11,0))/SUM(IF('Bobot CPMK'!$B$4='Peta CPL'!$A$17,'Bobot CPMK'!$P$4,0),IF('Bobot CPMK'!$B$5='Peta CPL'!$A$17,'Bobot CPMK'!$P$5,0),IF('Bobot CPMK'!$B$6='Peta CPL'!$A$17,'Bobot CPMK'!$P$6,0),IF('Bobot CPMK'!$B$7='Peta CPL'!$A$17,'Bobot CPMK'!$P$7,0),IF('Bobot CPMK'!$B$8='Peta CPL'!$A$17,'Bobot CPMK'!$P$8,0),IF('Bobot CPMK'!$B$9='Peta CPL'!$A$17,'Bobot CPMK'!$P$9,0),IF('Bobot CPMK'!$B$10='Peta CPL'!$A$17,'Bobot CPMK'!$P$10,0),IF('Bobot CPMK'!$B$11='Peta CPL'!$A$17,'Bobot CPMK'!$P$11,0)),""))</f>
        <v/>
      </c>
      <c r="P12" s="7">
        <f>IF(OR($B12="",'Peta CPL'!$A$18=""),"",IFERROR(SUM(IF('Bobot CPMK'!$B$4='Peta CPL'!$A$18,N(D12)*'Bobot CPMK'!$P$4,0),IF('Bobot CPMK'!$B$5='Peta CPL'!$A$18,N(E12)*'Bobot CPMK'!$P$5,0),IF('Bobot CPMK'!$B$6='Peta CPL'!$A$18,N(F12)*'Bobot CPMK'!$P$6,0),IF('Bobot CPMK'!$B$7='Peta CPL'!$A$18,N(G12)*'Bobot CPMK'!$P$7,0),IF('Bobot CPMK'!$B$8='Peta CPL'!$A$18,N(H12)*'Bobot CPMK'!$P$8,0),IF('Bobot CPMK'!$B$9='Peta CPL'!$A$18,N(I12)*'Bobot CPMK'!$P$9,0),IF('Bobot CPMK'!$B$10='Peta CPL'!$A$18,N(J12)*'Bobot CPMK'!$P$10,0),IF('Bobot CPMK'!$B$11='Peta CPL'!$A$18,N(K12)*'Bobot CPMK'!$P$11,0))/SUM(IF('Bobot CPMK'!$B$4='Peta CPL'!$A$18,'Bobot CPMK'!$P$4,0),IF('Bobot CPMK'!$B$5='Peta CPL'!$A$18,'Bobot CPMK'!$P$5,0),IF('Bobot CPMK'!$B$6='Peta CPL'!$A$18,'Bobot CPMK'!$P$6,0),IF('Bobot CPMK'!$B$7='Peta CPL'!$A$18,'Bobot CPMK'!$P$7,0),IF('Bobot CPMK'!$B$8='Peta CPL'!$A$18,'Bobot CPMK'!$P$8,0),IF('Bobot CPMK'!$B$9='Peta CPL'!$A$18,'Bobot CPMK'!$P$9,0),IF('Bobot CPMK'!$B$10='Peta CPL'!$A$18,'Bobot CPMK'!$P$10,0),IF('Bobot CPMK'!$B$11='Peta CPL'!$A$18,'Bobot CPMK'!$P$11,0)),""))</f>
        <v/>
      </c>
      <c r="Q12" s="7">
        <f>IF(OR($B12="",'Peta CPL'!$A$19=""),"",IFERROR(SUM(IF('Bobot CPMK'!$B$4='Peta CPL'!$A$19,N(D12)*'Bobot CPMK'!$P$4,0),IF('Bobot CPMK'!$B$5='Peta CPL'!$A$19,N(E12)*'Bobot CPMK'!$P$5,0),IF('Bobot CPMK'!$B$6='Peta CPL'!$A$19,N(F12)*'Bobot CPMK'!$P$6,0),IF('Bobot CPMK'!$B$7='Peta CPL'!$A$19,N(G12)*'Bobot CPMK'!$P$7,0),IF('Bobot CPMK'!$B$8='Peta CPL'!$A$19,N(H12)*'Bobot CPMK'!$P$8,0),IF('Bobot CPMK'!$B$9='Peta CPL'!$A$19,N(I12)*'Bobot CPMK'!$P$9,0),IF('Bobot CPMK'!$B$10='Peta CPL'!$A$19,N(J12)*'Bobot CPMK'!$P$10,0),IF('Bobot CPMK'!$B$11='Peta CPL'!$A$19,N(K12)*'Bobot CPMK'!$P$11,0))/SUM(IF('Bobot CPMK'!$B$4='Peta CPL'!$A$19,'Bobot CPMK'!$P$4,0),IF('Bobot CPMK'!$B$5='Peta CPL'!$A$19,'Bobot CPMK'!$P$5,0),IF('Bobot CPMK'!$B$6='Peta CPL'!$A$19,'Bobot CPMK'!$P$6,0),IF('Bobot CPMK'!$B$7='Peta CPL'!$A$19,'Bobot CPMK'!$P$7,0),IF('Bobot CPMK'!$B$8='Peta CPL'!$A$19,'Bobot CPMK'!$P$8,0),IF('Bobot CPMK'!$B$9='Peta CPL'!$A$19,'Bobot CPMK'!$P$9,0),IF('Bobot CPMK'!$B$10='Peta CPL'!$A$19,'Bobot CPMK'!$P$10,0),IF('Bobot CPMK'!$B$11='Peta CPL'!$A$19,'Bobot CPMK'!$P$11,0)),""))</f>
        <v/>
      </c>
      <c r="R12" s="7">
        <f>IF(OR($B12="",'Peta CPL'!$A$20=""),"",IFERROR(SUM(IF('Bobot CPMK'!$B$4='Peta CPL'!$A$20,N(D12)*'Bobot CPMK'!$P$4,0),IF('Bobot CPMK'!$B$5='Peta CPL'!$A$20,N(E12)*'Bobot CPMK'!$P$5,0),IF('Bobot CPMK'!$B$6='Peta CPL'!$A$20,N(F12)*'Bobot CPMK'!$P$6,0),IF('Bobot CPMK'!$B$7='Peta CPL'!$A$20,N(G12)*'Bobot CPMK'!$P$7,0),IF('Bobot CPMK'!$B$8='Peta CPL'!$A$20,N(H12)*'Bobot CPMK'!$P$8,0),IF('Bobot CPMK'!$B$9='Peta CPL'!$A$20,N(I12)*'Bobot CPMK'!$P$9,0),IF('Bobot CPMK'!$B$10='Peta CPL'!$A$20,N(J12)*'Bobot CPMK'!$P$10,0),IF('Bobot CPMK'!$B$11='Peta CPL'!$A$20,N(K12)*'Bobot CPMK'!$P$11,0))/SUM(IF('Bobot CPMK'!$B$4='Peta CPL'!$A$20,'Bobot CPMK'!$P$4,0),IF('Bobot CPMK'!$B$5='Peta CPL'!$A$20,'Bobot CPMK'!$P$5,0),IF('Bobot CPMK'!$B$6='Peta CPL'!$A$20,'Bobot CPMK'!$P$6,0),IF('Bobot CPMK'!$B$7='Peta CPL'!$A$20,'Bobot CPMK'!$P$7,0),IF('Bobot CPMK'!$B$8='Peta CPL'!$A$20,'Bobot CPMK'!$P$8,0),IF('Bobot CPMK'!$B$9='Peta CPL'!$A$20,'Bobot CPMK'!$P$9,0),IF('Bobot CPMK'!$B$10='Peta CPL'!$A$20,'Bobot CPMK'!$P$10,0),IF('Bobot CPMK'!$B$11='Peta CPL'!$A$20,'Bobot CPMK'!$P$11,0)),""))</f>
        <v/>
      </c>
      <c r="S12" s="7">
        <f>IF(OR($B12="",'Peta CPL'!$A$21=""),"",IFERROR(SUM(IF('Bobot CPMK'!$B$4='Peta CPL'!$A$21,N(D12)*'Bobot CPMK'!$P$4,0),IF('Bobot CPMK'!$B$5='Peta CPL'!$A$21,N(E12)*'Bobot CPMK'!$P$5,0),IF('Bobot CPMK'!$B$6='Peta CPL'!$A$21,N(F12)*'Bobot CPMK'!$P$6,0),IF('Bobot CPMK'!$B$7='Peta CPL'!$A$21,N(G12)*'Bobot CPMK'!$P$7,0),IF('Bobot CPMK'!$B$8='Peta CPL'!$A$21,N(H12)*'Bobot CPMK'!$P$8,0),IF('Bobot CPMK'!$B$9='Peta CPL'!$A$21,N(I12)*'Bobot CPMK'!$P$9,0),IF('Bobot CPMK'!$B$10='Peta CPL'!$A$21,N(J12)*'Bobot CPMK'!$P$10,0),IF('Bobot CPMK'!$B$11='Peta CPL'!$A$21,N(K12)*'Bobot CPMK'!$P$11,0))/SUM(IF('Bobot CPMK'!$B$4='Peta CPL'!$A$21,'Bobot CPMK'!$P$4,0),IF('Bobot CPMK'!$B$5='Peta CPL'!$A$21,'Bobot CPMK'!$P$5,0),IF('Bobot CPMK'!$B$6='Peta CPL'!$A$21,'Bobot CPMK'!$P$6,0),IF('Bobot CPMK'!$B$7='Peta CPL'!$A$21,'Bobot CPMK'!$P$7,0),IF('Bobot CPMK'!$B$8='Peta CPL'!$A$21,'Bobot CPMK'!$P$8,0),IF('Bobot CPMK'!$B$9='Peta CPL'!$A$21,'Bobot CPMK'!$P$9,0),IF('Bobot CPMK'!$B$10='Peta CPL'!$A$21,'Bobot CPMK'!$P$10,0),IF('Bobot CPMK'!$B$11='Peta CPL'!$A$21,'Bobot CPMK'!$P$11,0)),""))</f>
        <v/>
      </c>
      <c r="T12" s="7">
        <f>IF(OR($B12="",'Peta CPL'!$A$5=""),"",IFERROR((N(L12)*N('Peta CPL'!$C$14)*N('Peta CPL'!$D$14)+N(M12)*N('Peta CPL'!$C$15)*N('Peta CPL'!$D$15)+N(N12)*N('Peta CPL'!$C$16)*N('Peta CPL'!$D$16)+N(O12)*N('Peta CPL'!$C$17)*N('Peta CPL'!$D$17)+N(P12)*N('Peta CPL'!$C$18)*N('Peta CPL'!$D$18)+N(Q12)*N('Peta CPL'!$C$19)*N('Peta CPL'!$D$19)+N(R12)*N('Peta CPL'!$C$20)*N('Peta CPL'!$D$20)+N(S12)*N('Peta CPL'!$C$21)*N('Peta CPL'!$D$21))/(N('Peta CPL'!$C$14)*N('Peta CPL'!$D$14)+N('Peta CPL'!$C$15)*N('Peta CPL'!$D$15)+N('Peta CPL'!$C$16)*N('Peta CPL'!$D$16)+N('Peta CPL'!$C$17)*N('Peta CPL'!$D$17)+N('Peta CPL'!$C$18)*N('Peta CPL'!$D$18)+N('Peta CPL'!$C$19)*N('Peta CPL'!$D$19)+N('Peta CPL'!$C$20)*N('Peta CPL'!$D$20)+N('Peta CPL'!$C$21)*N('Peta CPL'!$D$21)),""))</f>
        <v/>
      </c>
      <c r="U12" s="7">
        <f>IF(OR($B12="",'Peta CPL'!$A$6=""),"",IFERROR((N(L12)*N('Peta CPL'!$C$14)*N('Peta CPL'!$E$14)+N(M12)*N('Peta CPL'!$C$15)*N('Peta CPL'!$E$15)+N(N12)*N('Peta CPL'!$C$16)*N('Peta CPL'!$E$16)+N(O12)*N('Peta CPL'!$C$17)*N('Peta CPL'!$E$17)+N(P12)*N('Peta CPL'!$C$18)*N('Peta CPL'!$E$18)+N(Q12)*N('Peta CPL'!$C$19)*N('Peta CPL'!$E$19)+N(R12)*N('Peta CPL'!$C$20)*N('Peta CPL'!$E$20)+N(S12)*N('Peta CPL'!$C$21)*N('Peta CPL'!$E$21))/(N('Peta CPL'!$C$14)*N('Peta CPL'!$E$14)+N('Peta CPL'!$C$15)*N('Peta CPL'!$E$15)+N('Peta CPL'!$C$16)*N('Peta CPL'!$E$16)+N('Peta CPL'!$C$17)*N('Peta CPL'!$E$17)+N('Peta CPL'!$C$18)*N('Peta CPL'!$E$18)+N('Peta CPL'!$C$19)*N('Peta CPL'!$E$19)+N('Peta CPL'!$C$20)*N('Peta CPL'!$E$20)+N('Peta CPL'!$C$21)*N('Peta CPL'!$E$21)),""))</f>
        <v/>
      </c>
      <c r="V12" s="7">
        <f>IF(OR($B12="",'Peta CPL'!$A$7=""),"",IFERROR((N(L12)*N('Peta CPL'!$C$14)*N('Peta CPL'!$F$14)+N(M12)*N('Peta CPL'!$C$15)*N('Peta CPL'!$F$15)+N(N12)*N('Peta CPL'!$C$16)*N('Peta CPL'!$F$16)+N(O12)*N('Peta CPL'!$C$17)*N('Peta CPL'!$F$17)+N(P12)*N('Peta CPL'!$C$18)*N('Peta CPL'!$F$18)+N(Q12)*N('Peta CPL'!$C$19)*N('Peta CPL'!$F$19)+N(R12)*N('Peta CPL'!$C$20)*N('Peta CPL'!$F$20)+N(S12)*N('Peta CPL'!$C$21)*N('Peta CPL'!$F$21))/(N('Peta CPL'!$C$14)*N('Peta CPL'!$F$14)+N('Peta CPL'!$C$15)*N('Peta CPL'!$F$15)+N('Peta CPL'!$C$16)*N('Peta CPL'!$F$16)+N('Peta CPL'!$C$17)*N('Peta CPL'!$F$17)+N('Peta CPL'!$C$18)*N('Peta CPL'!$F$18)+N('Peta CPL'!$C$19)*N('Peta CPL'!$F$19)+N('Peta CPL'!$C$20)*N('Peta CPL'!$F$20)+N('Peta CPL'!$C$21)*N('Peta CPL'!$F$21)),""))</f>
        <v/>
      </c>
      <c r="W12" s="7">
        <f>IF(OR($B12="",'Peta CPL'!$A$8=""),"",IFERROR((N(L12)*N('Peta CPL'!$C$14)*N('Peta CPL'!$G$14)+N(M12)*N('Peta CPL'!$C$15)*N('Peta CPL'!$G$15)+N(N12)*N('Peta CPL'!$C$16)*N('Peta CPL'!$G$16)+N(O12)*N('Peta CPL'!$C$17)*N('Peta CPL'!$G$17)+N(P12)*N('Peta CPL'!$C$18)*N('Peta CPL'!$G$18)+N(Q12)*N('Peta CPL'!$C$19)*N('Peta CPL'!$G$19)+N(R12)*N('Peta CPL'!$C$20)*N('Peta CPL'!$G$20)+N(S12)*N('Peta CPL'!$C$21)*N('Peta CPL'!$G$21))/(N('Peta CPL'!$C$14)*N('Peta CPL'!$G$14)+N('Peta CPL'!$C$15)*N('Peta CPL'!$G$15)+N('Peta CPL'!$C$16)*N('Peta CPL'!$G$16)+N('Peta CPL'!$C$17)*N('Peta CPL'!$G$17)+N('Peta CPL'!$C$18)*N('Peta CPL'!$G$18)+N('Peta CPL'!$C$19)*N('Peta CPL'!$G$19)+N('Peta CPL'!$C$20)*N('Peta CPL'!$G$20)+N('Peta CPL'!$C$21)*N('Peta CPL'!$G$21)),""))</f>
        <v/>
      </c>
      <c r="X12" s="7">
        <f>IF(OR($B12="",'Peta CPL'!$A$9=""),"",IFERROR((N(L12)*N('Peta CPL'!$C$14)*N('Peta CPL'!$H$14)+N(M12)*N('Peta CPL'!$C$15)*N('Peta CPL'!$H$15)+N(N12)*N('Peta CPL'!$C$16)*N('Peta CPL'!$H$16)+N(O12)*N('Peta CPL'!$C$17)*N('Peta CPL'!$H$17)+N(P12)*N('Peta CPL'!$C$18)*N('Peta CPL'!$H$18)+N(Q12)*N('Peta CPL'!$C$19)*N('Peta CPL'!$H$19)+N(R12)*N('Peta CPL'!$C$20)*N('Peta CPL'!$H$20)+N(S12)*N('Peta CPL'!$C$21)*N('Peta CPL'!$H$21))/(N('Peta CPL'!$C$14)*N('Peta CPL'!$H$14)+N('Peta CPL'!$C$15)*N('Peta CPL'!$H$15)+N('Peta CPL'!$C$16)*N('Peta CPL'!$H$16)+N('Peta CPL'!$C$17)*N('Peta CPL'!$H$17)+N('Peta CPL'!$C$18)*N('Peta CPL'!$H$18)+N('Peta CPL'!$C$19)*N('Peta CPL'!$H$19)+N('Peta CPL'!$C$20)*N('Peta CPL'!$H$20)+N('Peta CPL'!$C$21)*N('Peta CPL'!$H$21)),""))</f>
        <v/>
      </c>
      <c r="Y12" s="7">
        <f>IF(OR($B12="",'Peta CPL'!$A$10=""),"",IFERROR((N(L12)*N('Peta CPL'!$C$14)*N('Peta CPL'!$I$14)+N(M12)*N('Peta CPL'!$C$15)*N('Peta CPL'!$I$15)+N(N12)*N('Peta CPL'!$C$16)*N('Peta CPL'!$I$16)+N(O12)*N('Peta CPL'!$C$17)*N('Peta CPL'!$I$17)+N(P12)*N('Peta CPL'!$C$18)*N('Peta CPL'!$I$18)+N(Q12)*N('Peta CPL'!$C$19)*N('Peta CPL'!$I$19)+N(R12)*N('Peta CPL'!$C$20)*N('Peta CPL'!$I$20)+N(S12)*N('Peta CPL'!$C$21)*N('Peta CPL'!$I$21))/(N('Peta CPL'!$C$14)*N('Peta CPL'!$I$14)+N('Peta CPL'!$C$15)*N('Peta CPL'!$I$15)+N('Peta CPL'!$C$16)*N('Peta CPL'!$I$16)+N('Peta CPL'!$C$17)*N('Peta CPL'!$I$17)+N('Peta CPL'!$C$18)*N('Peta CPL'!$I$18)+N('Peta CPL'!$C$19)*N('Peta CPL'!$I$19)+N('Peta CPL'!$C$20)*N('Peta CPL'!$I$20)+N('Peta CPL'!$C$21)*N('Peta CPL'!$I$21)),""))</f>
        <v/>
      </c>
      <c r="Z12" s="7">
        <f>IF($B12="","",IFERROR((N(L12)*N('Peta CPL'!$C$14)+N(M12)*N('Peta CPL'!$C$15)+N(N12)*N('Peta CPL'!$C$16)+N(O12)*N('Peta CPL'!$C$17)+N(P12)*N('Peta CPL'!$C$18)+N(Q12)*N('Peta CPL'!$C$19)+N(R12)*N('Peta CPL'!$C$20)+N(S12)*N('Peta CPL'!$C$21))/100,""))</f>
        <v/>
      </c>
    </row>
    <row r="13">
      <c r="A13" s="7">
        <f>'Input Nilai'!A13</f>
        <v/>
      </c>
      <c r="B13" s="7">
        <f>'Input Nilai'!B13</f>
        <v/>
      </c>
      <c r="C13" s="15">
        <f>'Input Nilai'!C13</f>
        <v/>
      </c>
      <c r="D13" s="7">
        <f>IF(OR('Input Nilai'!$B13="",'Bobot CPMK'!$O$4=0),"",(SUMPRODUCT('Input Nilai'!D13:L13,'Bobot CPMK'!$E$4:$M$4)+'Input Nilai'!$BX13*'Bobot CPMK'!$N$4)/'Bobot CPMK'!$O$4)</f>
        <v/>
      </c>
      <c r="E13" s="7">
        <f>IF(OR('Input Nilai'!$B13="",'Bobot CPMK'!$O$5=0),"",(SUMPRODUCT('Input Nilai'!M13:U13,'Bobot CPMK'!$E$5:$M$5)+'Input Nilai'!$BX13*'Bobot CPMK'!$N$5)/'Bobot CPMK'!$O$5)</f>
        <v/>
      </c>
      <c r="F13" s="7">
        <f>IF(OR('Input Nilai'!$B13="",'Bobot CPMK'!$O$6=0),"",(SUMPRODUCT('Input Nilai'!V13:AD13,'Bobot CPMK'!$E$6:$M$6)+'Input Nilai'!$BX13*'Bobot CPMK'!$N$6)/'Bobot CPMK'!$O$6)</f>
        <v/>
      </c>
      <c r="G13" s="7">
        <f>IF(OR('Input Nilai'!$B13="",'Bobot CPMK'!$O$7=0),"",(SUMPRODUCT('Input Nilai'!AE13:AM13,'Bobot CPMK'!$E$7:$M$7)+'Input Nilai'!$BX13*'Bobot CPMK'!$N$7)/'Bobot CPMK'!$O$7)</f>
        <v/>
      </c>
      <c r="H13" s="7">
        <f>IF(OR('Input Nilai'!$B13="",'Bobot CPMK'!$O$8=0),"",(SUMPRODUCT('Input Nilai'!AN13:AV13,'Bobot CPMK'!$E$8:$M$8)+'Input Nilai'!$BX13*'Bobot CPMK'!$N$8)/'Bobot CPMK'!$O$8)</f>
        <v/>
      </c>
      <c r="I13" s="7">
        <f>IF(OR('Input Nilai'!$B13="",'Bobot CPMK'!$O$9=0),"",(SUMPRODUCT('Input Nilai'!AW13:BE13,'Bobot CPMK'!$E$9:$M$9)+'Input Nilai'!$BX13*'Bobot CPMK'!$N$9)/'Bobot CPMK'!$O$9)</f>
        <v/>
      </c>
      <c r="J13" s="7">
        <f>IF(OR('Input Nilai'!$B13="",'Bobot CPMK'!$O$10=0),"",(SUMPRODUCT('Input Nilai'!BF13:BN13,'Bobot CPMK'!$E$10:$M$10)+'Input Nilai'!$BX13*'Bobot CPMK'!$N$10)/'Bobot CPMK'!$O$10)</f>
        <v/>
      </c>
      <c r="K13" s="7">
        <f>IF(OR('Input Nilai'!$B13="",'Bobot CPMK'!$O$11=0),"",(SUMPRODUCT('Input Nilai'!BO13:BW13,'Bobot CPMK'!$E$11:$M$11)+'Input Nilai'!$BX13*'Bobot CPMK'!$N$11)/'Bobot CPMK'!$O$11)</f>
        <v/>
      </c>
      <c r="L13" s="7">
        <f>IF(OR($B13="",'Peta CPL'!$A$14=""),"",IFERROR(SUM(IF('Bobot CPMK'!$B$4='Peta CPL'!$A$14,N(D13)*'Bobot CPMK'!$P$4,0),IF('Bobot CPMK'!$B$5='Peta CPL'!$A$14,N(E13)*'Bobot CPMK'!$P$5,0),IF('Bobot CPMK'!$B$6='Peta CPL'!$A$14,N(F13)*'Bobot CPMK'!$P$6,0),IF('Bobot CPMK'!$B$7='Peta CPL'!$A$14,N(G13)*'Bobot CPMK'!$P$7,0),IF('Bobot CPMK'!$B$8='Peta CPL'!$A$14,N(H13)*'Bobot CPMK'!$P$8,0),IF('Bobot CPMK'!$B$9='Peta CPL'!$A$14,N(I13)*'Bobot CPMK'!$P$9,0),IF('Bobot CPMK'!$B$10='Peta CPL'!$A$14,N(J13)*'Bobot CPMK'!$P$10,0),IF('Bobot CPMK'!$B$11='Peta CPL'!$A$14,N(K13)*'Bobot CPMK'!$P$11,0))/SUM(IF('Bobot CPMK'!$B$4='Peta CPL'!$A$14,'Bobot CPMK'!$P$4,0),IF('Bobot CPMK'!$B$5='Peta CPL'!$A$14,'Bobot CPMK'!$P$5,0),IF('Bobot CPMK'!$B$6='Peta CPL'!$A$14,'Bobot CPMK'!$P$6,0),IF('Bobot CPMK'!$B$7='Peta CPL'!$A$14,'Bobot CPMK'!$P$7,0),IF('Bobot CPMK'!$B$8='Peta CPL'!$A$14,'Bobot CPMK'!$P$8,0),IF('Bobot CPMK'!$B$9='Peta CPL'!$A$14,'Bobot CPMK'!$P$9,0),IF('Bobot CPMK'!$B$10='Peta CPL'!$A$14,'Bobot CPMK'!$P$10,0),IF('Bobot CPMK'!$B$11='Peta CPL'!$A$14,'Bobot CPMK'!$P$11,0)),""))</f>
        <v/>
      </c>
      <c r="M13" s="7">
        <f>IF(OR($B13="",'Peta CPL'!$A$15=""),"",IFERROR(SUM(IF('Bobot CPMK'!$B$4='Peta CPL'!$A$15,N(D13)*'Bobot CPMK'!$P$4,0),IF('Bobot CPMK'!$B$5='Peta CPL'!$A$15,N(E13)*'Bobot CPMK'!$P$5,0),IF('Bobot CPMK'!$B$6='Peta CPL'!$A$15,N(F13)*'Bobot CPMK'!$P$6,0),IF('Bobot CPMK'!$B$7='Peta CPL'!$A$15,N(G13)*'Bobot CPMK'!$P$7,0),IF('Bobot CPMK'!$B$8='Peta CPL'!$A$15,N(H13)*'Bobot CPMK'!$P$8,0),IF('Bobot CPMK'!$B$9='Peta CPL'!$A$15,N(I13)*'Bobot CPMK'!$P$9,0),IF('Bobot CPMK'!$B$10='Peta CPL'!$A$15,N(J13)*'Bobot CPMK'!$P$10,0),IF('Bobot CPMK'!$B$11='Peta CPL'!$A$15,N(K13)*'Bobot CPMK'!$P$11,0))/SUM(IF('Bobot CPMK'!$B$4='Peta CPL'!$A$15,'Bobot CPMK'!$P$4,0),IF('Bobot CPMK'!$B$5='Peta CPL'!$A$15,'Bobot CPMK'!$P$5,0),IF('Bobot CPMK'!$B$6='Peta CPL'!$A$15,'Bobot CPMK'!$P$6,0),IF('Bobot CPMK'!$B$7='Peta CPL'!$A$15,'Bobot CPMK'!$P$7,0),IF('Bobot CPMK'!$B$8='Peta CPL'!$A$15,'Bobot CPMK'!$P$8,0),IF('Bobot CPMK'!$B$9='Peta CPL'!$A$15,'Bobot CPMK'!$P$9,0),IF('Bobot CPMK'!$B$10='Peta CPL'!$A$15,'Bobot CPMK'!$P$10,0),IF('Bobot CPMK'!$B$11='Peta CPL'!$A$15,'Bobot CPMK'!$P$11,0)),""))</f>
        <v/>
      </c>
      <c r="N13" s="7">
        <f>IF(OR($B13="",'Peta CPL'!$A$16=""),"",IFERROR(SUM(IF('Bobot CPMK'!$B$4='Peta CPL'!$A$16,N(D13)*'Bobot CPMK'!$P$4,0),IF('Bobot CPMK'!$B$5='Peta CPL'!$A$16,N(E13)*'Bobot CPMK'!$P$5,0),IF('Bobot CPMK'!$B$6='Peta CPL'!$A$16,N(F13)*'Bobot CPMK'!$P$6,0),IF('Bobot CPMK'!$B$7='Peta CPL'!$A$16,N(G13)*'Bobot CPMK'!$P$7,0),IF('Bobot CPMK'!$B$8='Peta CPL'!$A$16,N(H13)*'Bobot CPMK'!$P$8,0),IF('Bobot CPMK'!$B$9='Peta CPL'!$A$16,N(I13)*'Bobot CPMK'!$P$9,0),IF('Bobot CPMK'!$B$10='Peta CPL'!$A$16,N(J13)*'Bobot CPMK'!$P$10,0),IF('Bobot CPMK'!$B$11='Peta CPL'!$A$16,N(K13)*'Bobot CPMK'!$P$11,0))/SUM(IF('Bobot CPMK'!$B$4='Peta CPL'!$A$16,'Bobot CPMK'!$P$4,0),IF('Bobot CPMK'!$B$5='Peta CPL'!$A$16,'Bobot CPMK'!$P$5,0),IF('Bobot CPMK'!$B$6='Peta CPL'!$A$16,'Bobot CPMK'!$P$6,0),IF('Bobot CPMK'!$B$7='Peta CPL'!$A$16,'Bobot CPMK'!$P$7,0),IF('Bobot CPMK'!$B$8='Peta CPL'!$A$16,'Bobot CPMK'!$P$8,0),IF('Bobot CPMK'!$B$9='Peta CPL'!$A$16,'Bobot CPMK'!$P$9,0),IF('Bobot CPMK'!$B$10='Peta CPL'!$A$16,'Bobot CPMK'!$P$10,0),IF('Bobot CPMK'!$B$11='Peta CPL'!$A$16,'Bobot CPMK'!$P$11,0)),""))</f>
        <v/>
      </c>
      <c r="O13" s="7">
        <f>IF(OR($B13="",'Peta CPL'!$A$17=""),"",IFERROR(SUM(IF('Bobot CPMK'!$B$4='Peta CPL'!$A$17,N(D13)*'Bobot CPMK'!$P$4,0),IF('Bobot CPMK'!$B$5='Peta CPL'!$A$17,N(E13)*'Bobot CPMK'!$P$5,0),IF('Bobot CPMK'!$B$6='Peta CPL'!$A$17,N(F13)*'Bobot CPMK'!$P$6,0),IF('Bobot CPMK'!$B$7='Peta CPL'!$A$17,N(G13)*'Bobot CPMK'!$P$7,0),IF('Bobot CPMK'!$B$8='Peta CPL'!$A$17,N(H13)*'Bobot CPMK'!$P$8,0),IF('Bobot CPMK'!$B$9='Peta CPL'!$A$17,N(I13)*'Bobot CPMK'!$P$9,0),IF('Bobot CPMK'!$B$10='Peta CPL'!$A$17,N(J13)*'Bobot CPMK'!$P$10,0),IF('Bobot CPMK'!$B$11='Peta CPL'!$A$17,N(K13)*'Bobot CPMK'!$P$11,0))/SUM(IF('Bobot CPMK'!$B$4='Peta CPL'!$A$17,'Bobot CPMK'!$P$4,0),IF('Bobot CPMK'!$B$5='Peta CPL'!$A$17,'Bobot CPMK'!$P$5,0),IF('Bobot CPMK'!$B$6='Peta CPL'!$A$17,'Bobot CPMK'!$P$6,0),IF('Bobot CPMK'!$B$7='Peta CPL'!$A$17,'Bobot CPMK'!$P$7,0),IF('Bobot CPMK'!$B$8='Peta CPL'!$A$17,'Bobot CPMK'!$P$8,0),IF('Bobot CPMK'!$B$9='Peta CPL'!$A$17,'Bobot CPMK'!$P$9,0),IF('Bobot CPMK'!$B$10='Peta CPL'!$A$17,'Bobot CPMK'!$P$10,0),IF('Bobot CPMK'!$B$11='Peta CPL'!$A$17,'Bobot CPMK'!$P$11,0)),""))</f>
        <v/>
      </c>
      <c r="P13" s="7">
        <f>IF(OR($B13="",'Peta CPL'!$A$18=""),"",IFERROR(SUM(IF('Bobot CPMK'!$B$4='Peta CPL'!$A$18,N(D13)*'Bobot CPMK'!$P$4,0),IF('Bobot CPMK'!$B$5='Peta CPL'!$A$18,N(E13)*'Bobot CPMK'!$P$5,0),IF('Bobot CPMK'!$B$6='Peta CPL'!$A$18,N(F13)*'Bobot CPMK'!$P$6,0),IF('Bobot CPMK'!$B$7='Peta CPL'!$A$18,N(G13)*'Bobot CPMK'!$P$7,0),IF('Bobot CPMK'!$B$8='Peta CPL'!$A$18,N(H13)*'Bobot CPMK'!$P$8,0),IF('Bobot CPMK'!$B$9='Peta CPL'!$A$18,N(I13)*'Bobot CPMK'!$P$9,0),IF('Bobot CPMK'!$B$10='Peta CPL'!$A$18,N(J13)*'Bobot CPMK'!$P$10,0),IF('Bobot CPMK'!$B$11='Peta CPL'!$A$18,N(K13)*'Bobot CPMK'!$P$11,0))/SUM(IF('Bobot CPMK'!$B$4='Peta CPL'!$A$18,'Bobot CPMK'!$P$4,0),IF('Bobot CPMK'!$B$5='Peta CPL'!$A$18,'Bobot CPMK'!$P$5,0),IF('Bobot CPMK'!$B$6='Peta CPL'!$A$18,'Bobot CPMK'!$P$6,0),IF('Bobot CPMK'!$B$7='Peta CPL'!$A$18,'Bobot CPMK'!$P$7,0),IF('Bobot CPMK'!$B$8='Peta CPL'!$A$18,'Bobot CPMK'!$P$8,0),IF('Bobot CPMK'!$B$9='Peta CPL'!$A$18,'Bobot CPMK'!$P$9,0),IF('Bobot CPMK'!$B$10='Peta CPL'!$A$18,'Bobot CPMK'!$P$10,0),IF('Bobot CPMK'!$B$11='Peta CPL'!$A$18,'Bobot CPMK'!$P$11,0)),""))</f>
        <v/>
      </c>
      <c r="Q13" s="7">
        <f>IF(OR($B13="",'Peta CPL'!$A$19=""),"",IFERROR(SUM(IF('Bobot CPMK'!$B$4='Peta CPL'!$A$19,N(D13)*'Bobot CPMK'!$P$4,0),IF('Bobot CPMK'!$B$5='Peta CPL'!$A$19,N(E13)*'Bobot CPMK'!$P$5,0),IF('Bobot CPMK'!$B$6='Peta CPL'!$A$19,N(F13)*'Bobot CPMK'!$P$6,0),IF('Bobot CPMK'!$B$7='Peta CPL'!$A$19,N(G13)*'Bobot CPMK'!$P$7,0),IF('Bobot CPMK'!$B$8='Peta CPL'!$A$19,N(H13)*'Bobot CPMK'!$P$8,0),IF('Bobot CPMK'!$B$9='Peta CPL'!$A$19,N(I13)*'Bobot CPMK'!$P$9,0),IF('Bobot CPMK'!$B$10='Peta CPL'!$A$19,N(J13)*'Bobot CPMK'!$P$10,0),IF('Bobot CPMK'!$B$11='Peta CPL'!$A$19,N(K13)*'Bobot CPMK'!$P$11,0))/SUM(IF('Bobot CPMK'!$B$4='Peta CPL'!$A$19,'Bobot CPMK'!$P$4,0),IF('Bobot CPMK'!$B$5='Peta CPL'!$A$19,'Bobot CPMK'!$P$5,0),IF('Bobot CPMK'!$B$6='Peta CPL'!$A$19,'Bobot CPMK'!$P$6,0),IF('Bobot CPMK'!$B$7='Peta CPL'!$A$19,'Bobot CPMK'!$P$7,0),IF('Bobot CPMK'!$B$8='Peta CPL'!$A$19,'Bobot CPMK'!$P$8,0),IF('Bobot CPMK'!$B$9='Peta CPL'!$A$19,'Bobot CPMK'!$P$9,0),IF('Bobot CPMK'!$B$10='Peta CPL'!$A$19,'Bobot CPMK'!$P$10,0),IF('Bobot CPMK'!$B$11='Peta CPL'!$A$19,'Bobot CPMK'!$P$11,0)),""))</f>
        <v/>
      </c>
      <c r="R13" s="7">
        <f>IF(OR($B13="",'Peta CPL'!$A$20=""),"",IFERROR(SUM(IF('Bobot CPMK'!$B$4='Peta CPL'!$A$20,N(D13)*'Bobot CPMK'!$P$4,0),IF('Bobot CPMK'!$B$5='Peta CPL'!$A$20,N(E13)*'Bobot CPMK'!$P$5,0),IF('Bobot CPMK'!$B$6='Peta CPL'!$A$20,N(F13)*'Bobot CPMK'!$P$6,0),IF('Bobot CPMK'!$B$7='Peta CPL'!$A$20,N(G13)*'Bobot CPMK'!$P$7,0),IF('Bobot CPMK'!$B$8='Peta CPL'!$A$20,N(H13)*'Bobot CPMK'!$P$8,0),IF('Bobot CPMK'!$B$9='Peta CPL'!$A$20,N(I13)*'Bobot CPMK'!$P$9,0),IF('Bobot CPMK'!$B$10='Peta CPL'!$A$20,N(J13)*'Bobot CPMK'!$P$10,0),IF('Bobot CPMK'!$B$11='Peta CPL'!$A$20,N(K13)*'Bobot CPMK'!$P$11,0))/SUM(IF('Bobot CPMK'!$B$4='Peta CPL'!$A$20,'Bobot CPMK'!$P$4,0),IF('Bobot CPMK'!$B$5='Peta CPL'!$A$20,'Bobot CPMK'!$P$5,0),IF('Bobot CPMK'!$B$6='Peta CPL'!$A$20,'Bobot CPMK'!$P$6,0),IF('Bobot CPMK'!$B$7='Peta CPL'!$A$20,'Bobot CPMK'!$P$7,0),IF('Bobot CPMK'!$B$8='Peta CPL'!$A$20,'Bobot CPMK'!$P$8,0),IF('Bobot CPMK'!$B$9='Peta CPL'!$A$20,'Bobot CPMK'!$P$9,0),IF('Bobot CPMK'!$B$10='Peta CPL'!$A$20,'Bobot CPMK'!$P$10,0),IF('Bobot CPMK'!$B$11='Peta CPL'!$A$20,'Bobot CPMK'!$P$11,0)),""))</f>
        <v/>
      </c>
      <c r="S13" s="7">
        <f>IF(OR($B13="",'Peta CPL'!$A$21=""),"",IFERROR(SUM(IF('Bobot CPMK'!$B$4='Peta CPL'!$A$21,N(D13)*'Bobot CPMK'!$P$4,0),IF('Bobot CPMK'!$B$5='Peta CPL'!$A$21,N(E13)*'Bobot CPMK'!$P$5,0),IF('Bobot CPMK'!$B$6='Peta CPL'!$A$21,N(F13)*'Bobot CPMK'!$P$6,0),IF('Bobot CPMK'!$B$7='Peta CPL'!$A$21,N(G13)*'Bobot CPMK'!$P$7,0),IF('Bobot CPMK'!$B$8='Peta CPL'!$A$21,N(H13)*'Bobot CPMK'!$P$8,0),IF('Bobot CPMK'!$B$9='Peta CPL'!$A$21,N(I13)*'Bobot CPMK'!$P$9,0),IF('Bobot CPMK'!$B$10='Peta CPL'!$A$21,N(J13)*'Bobot CPMK'!$P$10,0),IF('Bobot CPMK'!$B$11='Peta CPL'!$A$21,N(K13)*'Bobot CPMK'!$P$11,0))/SUM(IF('Bobot CPMK'!$B$4='Peta CPL'!$A$21,'Bobot CPMK'!$P$4,0),IF('Bobot CPMK'!$B$5='Peta CPL'!$A$21,'Bobot CPMK'!$P$5,0),IF('Bobot CPMK'!$B$6='Peta CPL'!$A$21,'Bobot CPMK'!$P$6,0),IF('Bobot CPMK'!$B$7='Peta CPL'!$A$21,'Bobot CPMK'!$P$7,0),IF('Bobot CPMK'!$B$8='Peta CPL'!$A$21,'Bobot CPMK'!$P$8,0),IF('Bobot CPMK'!$B$9='Peta CPL'!$A$21,'Bobot CPMK'!$P$9,0),IF('Bobot CPMK'!$B$10='Peta CPL'!$A$21,'Bobot CPMK'!$P$10,0),IF('Bobot CPMK'!$B$11='Peta CPL'!$A$21,'Bobot CPMK'!$P$11,0)),""))</f>
        <v/>
      </c>
      <c r="T13" s="7">
        <f>IF(OR($B13="",'Peta CPL'!$A$5=""),"",IFERROR((N(L13)*N('Peta CPL'!$C$14)*N('Peta CPL'!$D$14)+N(M13)*N('Peta CPL'!$C$15)*N('Peta CPL'!$D$15)+N(N13)*N('Peta CPL'!$C$16)*N('Peta CPL'!$D$16)+N(O13)*N('Peta CPL'!$C$17)*N('Peta CPL'!$D$17)+N(P13)*N('Peta CPL'!$C$18)*N('Peta CPL'!$D$18)+N(Q13)*N('Peta CPL'!$C$19)*N('Peta CPL'!$D$19)+N(R13)*N('Peta CPL'!$C$20)*N('Peta CPL'!$D$20)+N(S13)*N('Peta CPL'!$C$21)*N('Peta CPL'!$D$21))/(N('Peta CPL'!$C$14)*N('Peta CPL'!$D$14)+N('Peta CPL'!$C$15)*N('Peta CPL'!$D$15)+N('Peta CPL'!$C$16)*N('Peta CPL'!$D$16)+N('Peta CPL'!$C$17)*N('Peta CPL'!$D$17)+N('Peta CPL'!$C$18)*N('Peta CPL'!$D$18)+N('Peta CPL'!$C$19)*N('Peta CPL'!$D$19)+N('Peta CPL'!$C$20)*N('Peta CPL'!$D$20)+N('Peta CPL'!$C$21)*N('Peta CPL'!$D$21)),""))</f>
        <v/>
      </c>
      <c r="U13" s="7">
        <f>IF(OR($B13="",'Peta CPL'!$A$6=""),"",IFERROR((N(L13)*N('Peta CPL'!$C$14)*N('Peta CPL'!$E$14)+N(M13)*N('Peta CPL'!$C$15)*N('Peta CPL'!$E$15)+N(N13)*N('Peta CPL'!$C$16)*N('Peta CPL'!$E$16)+N(O13)*N('Peta CPL'!$C$17)*N('Peta CPL'!$E$17)+N(P13)*N('Peta CPL'!$C$18)*N('Peta CPL'!$E$18)+N(Q13)*N('Peta CPL'!$C$19)*N('Peta CPL'!$E$19)+N(R13)*N('Peta CPL'!$C$20)*N('Peta CPL'!$E$20)+N(S13)*N('Peta CPL'!$C$21)*N('Peta CPL'!$E$21))/(N('Peta CPL'!$C$14)*N('Peta CPL'!$E$14)+N('Peta CPL'!$C$15)*N('Peta CPL'!$E$15)+N('Peta CPL'!$C$16)*N('Peta CPL'!$E$16)+N('Peta CPL'!$C$17)*N('Peta CPL'!$E$17)+N('Peta CPL'!$C$18)*N('Peta CPL'!$E$18)+N('Peta CPL'!$C$19)*N('Peta CPL'!$E$19)+N('Peta CPL'!$C$20)*N('Peta CPL'!$E$20)+N('Peta CPL'!$C$21)*N('Peta CPL'!$E$21)),""))</f>
        <v/>
      </c>
      <c r="V13" s="7">
        <f>IF(OR($B13="",'Peta CPL'!$A$7=""),"",IFERROR((N(L13)*N('Peta CPL'!$C$14)*N('Peta CPL'!$F$14)+N(M13)*N('Peta CPL'!$C$15)*N('Peta CPL'!$F$15)+N(N13)*N('Peta CPL'!$C$16)*N('Peta CPL'!$F$16)+N(O13)*N('Peta CPL'!$C$17)*N('Peta CPL'!$F$17)+N(P13)*N('Peta CPL'!$C$18)*N('Peta CPL'!$F$18)+N(Q13)*N('Peta CPL'!$C$19)*N('Peta CPL'!$F$19)+N(R13)*N('Peta CPL'!$C$20)*N('Peta CPL'!$F$20)+N(S13)*N('Peta CPL'!$C$21)*N('Peta CPL'!$F$21))/(N('Peta CPL'!$C$14)*N('Peta CPL'!$F$14)+N('Peta CPL'!$C$15)*N('Peta CPL'!$F$15)+N('Peta CPL'!$C$16)*N('Peta CPL'!$F$16)+N('Peta CPL'!$C$17)*N('Peta CPL'!$F$17)+N('Peta CPL'!$C$18)*N('Peta CPL'!$F$18)+N('Peta CPL'!$C$19)*N('Peta CPL'!$F$19)+N('Peta CPL'!$C$20)*N('Peta CPL'!$F$20)+N('Peta CPL'!$C$21)*N('Peta CPL'!$F$21)),""))</f>
        <v/>
      </c>
      <c r="W13" s="7">
        <f>IF(OR($B13="",'Peta CPL'!$A$8=""),"",IFERROR((N(L13)*N('Peta CPL'!$C$14)*N('Peta CPL'!$G$14)+N(M13)*N('Peta CPL'!$C$15)*N('Peta CPL'!$G$15)+N(N13)*N('Peta CPL'!$C$16)*N('Peta CPL'!$G$16)+N(O13)*N('Peta CPL'!$C$17)*N('Peta CPL'!$G$17)+N(P13)*N('Peta CPL'!$C$18)*N('Peta CPL'!$G$18)+N(Q13)*N('Peta CPL'!$C$19)*N('Peta CPL'!$G$19)+N(R13)*N('Peta CPL'!$C$20)*N('Peta CPL'!$G$20)+N(S13)*N('Peta CPL'!$C$21)*N('Peta CPL'!$G$21))/(N('Peta CPL'!$C$14)*N('Peta CPL'!$G$14)+N('Peta CPL'!$C$15)*N('Peta CPL'!$G$15)+N('Peta CPL'!$C$16)*N('Peta CPL'!$G$16)+N('Peta CPL'!$C$17)*N('Peta CPL'!$G$17)+N('Peta CPL'!$C$18)*N('Peta CPL'!$G$18)+N('Peta CPL'!$C$19)*N('Peta CPL'!$G$19)+N('Peta CPL'!$C$20)*N('Peta CPL'!$G$20)+N('Peta CPL'!$C$21)*N('Peta CPL'!$G$21)),""))</f>
        <v/>
      </c>
      <c r="X13" s="7">
        <f>IF(OR($B13="",'Peta CPL'!$A$9=""),"",IFERROR((N(L13)*N('Peta CPL'!$C$14)*N('Peta CPL'!$H$14)+N(M13)*N('Peta CPL'!$C$15)*N('Peta CPL'!$H$15)+N(N13)*N('Peta CPL'!$C$16)*N('Peta CPL'!$H$16)+N(O13)*N('Peta CPL'!$C$17)*N('Peta CPL'!$H$17)+N(P13)*N('Peta CPL'!$C$18)*N('Peta CPL'!$H$18)+N(Q13)*N('Peta CPL'!$C$19)*N('Peta CPL'!$H$19)+N(R13)*N('Peta CPL'!$C$20)*N('Peta CPL'!$H$20)+N(S13)*N('Peta CPL'!$C$21)*N('Peta CPL'!$H$21))/(N('Peta CPL'!$C$14)*N('Peta CPL'!$H$14)+N('Peta CPL'!$C$15)*N('Peta CPL'!$H$15)+N('Peta CPL'!$C$16)*N('Peta CPL'!$H$16)+N('Peta CPL'!$C$17)*N('Peta CPL'!$H$17)+N('Peta CPL'!$C$18)*N('Peta CPL'!$H$18)+N('Peta CPL'!$C$19)*N('Peta CPL'!$H$19)+N('Peta CPL'!$C$20)*N('Peta CPL'!$H$20)+N('Peta CPL'!$C$21)*N('Peta CPL'!$H$21)),""))</f>
        <v/>
      </c>
      <c r="Y13" s="7">
        <f>IF(OR($B13="",'Peta CPL'!$A$10=""),"",IFERROR((N(L13)*N('Peta CPL'!$C$14)*N('Peta CPL'!$I$14)+N(M13)*N('Peta CPL'!$C$15)*N('Peta CPL'!$I$15)+N(N13)*N('Peta CPL'!$C$16)*N('Peta CPL'!$I$16)+N(O13)*N('Peta CPL'!$C$17)*N('Peta CPL'!$I$17)+N(P13)*N('Peta CPL'!$C$18)*N('Peta CPL'!$I$18)+N(Q13)*N('Peta CPL'!$C$19)*N('Peta CPL'!$I$19)+N(R13)*N('Peta CPL'!$C$20)*N('Peta CPL'!$I$20)+N(S13)*N('Peta CPL'!$C$21)*N('Peta CPL'!$I$21))/(N('Peta CPL'!$C$14)*N('Peta CPL'!$I$14)+N('Peta CPL'!$C$15)*N('Peta CPL'!$I$15)+N('Peta CPL'!$C$16)*N('Peta CPL'!$I$16)+N('Peta CPL'!$C$17)*N('Peta CPL'!$I$17)+N('Peta CPL'!$C$18)*N('Peta CPL'!$I$18)+N('Peta CPL'!$C$19)*N('Peta CPL'!$I$19)+N('Peta CPL'!$C$20)*N('Peta CPL'!$I$20)+N('Peta CPL'!$C$21)*N('Peta CPL'!$I$21)),""))</f>
        <v/>
      </c>
      <c r="Z13" s="7">
        <f>IF($B13="","",IFERROR((N(L13)*N('Peta CPL'!$C$14)+N(M13)*N('Peta CPL'!$C$15)+N(N13)*N('Peta CPL'!$C$16)+N(O13)*N('Peta CPL'!$C$17)+N(P13)*N('Peta CPL'!$C$18)+N(Q13)*N('Peta CPL'!$C$19)+N(R13)*N('Peta CPL'!$C$20)+N(S13)*N('Peta CPL'!$C$21))/100,""))</f>
        <v/>
      </c>
    </row>
    <row r="14">
      <c r="A14" s="7">
        <f>'Input Nilai'!A14</f>
        <v/>
      </c>
      <c r="B14" s="7">
        <f>'Input Nilai'!B14</f>
        <v/>
      </c>
      <c r="C14" s="15">
        <f>'Input Nilai'!C14</f>
        <v/>
      </c>
      <c r="D14" s="7">
        <f>IF(OR('Input Nilai'!$B14="",'Bobot CPMK'!$O$4=0),"",(SUMPRODUCT('Input Nilai'!D14:L14,'Bobot CPMK'!$E$4:$M$4)+'Input Nilai'!$BX14*'Bobot CPMK'!$N$4)/'Bobot CPMK'!$O$4)</f>
        <v/>
      </c>
      <c r="E14" s="7">
        <f>IF(OR('Input Nilai'!$B14="",'Bobot CPMK'!$O$5=0),"",(SUMPRODUCT('Input Nilai'!M14:U14,'Bobot CPMK'!$E$5:$M$5)+'Input Nilai'!$BX14*'Bobot CPMK'!$N$5)/'Bobot CPMK'!$O$5)</f>
        <v/>
      </c>
      <c r="F14" s="7">
        <f>IF(OR('Input Nilai'!$B14="",'Bobot CPMK'!$O$6=0),"",(SUMPRODUCT('Input Nilai'!V14:AD14,'Bobot CPMK'!$E$6:$M$6)+'Input Nilai'!$BX14*'Bobot CPMK'!$N$6)/'Bobot CPMK'!$O$6)</f>
        <v/>
      </c>
      <c r="G14" s="7">
        <f>IF(OR('Input Nilai'!$B14="",'Bobot CPMK'!$O$7=0),"",(SUMPRODUCT('Input Nilai'!AE14:AM14,'Bobot CPMK'!$E$7:$M$7)+'Input Nilai'!$BX14*'Bobot CPMK'!$N$7)/'Bobot CPMK'!$O$7)</f>
        <v/>
      </c>
      <c r="H14" s="7">
        <f>IF(OR('Input Nilai'!$B14="",'Bobot CPMK'!$O$8=0),"",(SUMPRODUCT('Input Nilai'!AN14:AV14,'Bobot CPMK'!$E$8:$M$8)+'Input Nilai'!$BX14*'Bobot CPMK'!$N$8)/'Bobot CPMK'!$O$8)</f>
        <v/>
      </c>
      <c r="I14" s="7">
        <f>IF(OR('Input Nilai'!$B14="",'Bobot CPMK'!$O$9=0),"",(SUMPRODUCT('Input Nilai'!AW14:BE14,'Bobot CPMK'!$E$9:$M$9)+'Input Nilai'!$BX14*'Bobot CPMK'!$N$9)/'Bobot CPMK'!$O$9)</f>
        <v/>
      </c>
      <c r="J14" s="7">
        <f>IF(OR('Input Nilai'!$B14="",'Bobot CPMK'!$O$10=0),"",(SUMPRODUCT('Input Nilai'!BF14:BN14,'Bobot CPMK'!$E$10:$M$10)+'Input Nilai'!$BX14*'Bobot CPMK'!$N$10)/'Bobot CPMK'!$O$10)</f>
        <v/>
      </c>
      <c r="K14" s="7">
        <f>IF(OR('Input Nilai'!$B14="",'Bobot CPMK'!$O$11=0),"",(SUMPRODUCT('Input Nilai'!BO14:BW14,'Bobot CPMK'!$E$11:$M$11)+'Input Nilai'!$BX14*'Bobot CPMK'!$N$11)/'Bobot CPMK'!$O$11)</f>
        <v/>
      </c>
      <c r="L14" s="7">
        <f>IF(OR($B14="",'Peta CPL'!$A$14=""),"",IFERROR(SUM(IF('Bobot CPMK'!$B$4='Peta CPL'!$A$14,N(D14)*'Bobot CPMK'!$P$4,0),IF('Bobot CPMK'!$B$5='Peta CPL'!$A$14,N(E14)*'Bobot CPMK'!$P$5,0),IF('Bobot CPMK'!$B$6='Peta CPL'!$A$14,N(F14)*'Bobot CPMK'!$P$6,0),IF('Bobot CPMK'!$B$7='Peta CPL'!$A$14,N(G14)*'Bobot CPMK'!$P$7,0),IF('Bobot CPMK'!$B$8='Peta CPL'!$A$14,N(H14)*'Bobot CPMK'!$P$8,0),IF('Bobot CPMK'!$B$9='Peta CPL'!$A$14,N(I14)*'Bobot CPMK'!$P$9,0),IF('Bobot CPMK'!$B$10='Peta CPL'!$A$14,N(J14)*'Bobot CPMK'!$P$10,0),IF('Bobot CPMK'!$B$11='Peta CPL'!$A$14,N(K14)*'Bobot CPMK'!$P$11,0))/SUM(IF('Bobot CPMK'!$B$4='Peta CPL'!$A$14,'Bobot CPMK'!$P$4,0),IF('Bobot CPMK'!$B$5='Peta CPL'!$A$14,'Bobot CPMK'!$P$5,0),IF('Bobot CPMK'!$B$6='Peta CPL'!$A$14,'Bobot CPMK'!$P$6,0),IF('Bobot CPMK'!$B$7='Peta CPL'!$A$14,'Bobot CPMK'!$P$7,0),IF('Bobot CPMK'!$B$8='Peta CPL'!$A$14,'Bobot CPMK'!$P$8,0),IF('Bobot CPMK'!$B$9='Peta CPL'!$A$14,'Bobot CPMK'!$P$9,0),IF('Bobot CPMK'!$B$10='Peta CPL'!$A$14,'Bobot CPMK'!$P$10,0),IF('Bobot CPMK'!$B$11='Peta CPL'!$A$14,'Bobot CPMK'!$P$11,0)),""))</f>
        <v/>
      </c>
      <c r="M14" s="7">
        <f>IF(OR($B14="",'Peta CPL'!$A$15=""),"",IFERROR(SUM(IF('Bobot CPMK'!$B$4='Peta CPL'!$A$15,N(D14)*'Bobot CPMK'!$P$4,0),IF('Bobot CPMK'!$B$5='Peta CPL'!$A$15,N(E14)*'Bobot CPMK'!$P$5,0),IF('Bobot CPMK'!$B$6='Peta CPL'!$A$15,N(F14)*'Bobot CPMK'!$P$6,0),IF('Bobot CPMK'!$B$7='Peta CPL'!$A$15,N(G14)*'Bobot CPMK'!$P$7,0),IF('Bobot CPMK'!$B$8='Peta CPL'!$A$15,N(H14)*'Bobot CPMK'!$P$8,0),IF('Bobot CPMK'!$B$9='Peta CPL'!$A$15,N(I14)*'Bobot CPMK'!$P$9,0),IF('Bobot CPMK'!$B$10='Peta CPL'!$A$15,N(J14)*'Bobot CPMK'!$P$10,0),IF('Bobot CPMK'!$B$11='Peta CPL'!$A$15,N(K14)*'Bobot CPMK'!$P$11,0))/SUM(IF('Bobot CPMK'!$B$4='Peta CPL'!$A$15,'Bobot CPMK'!$P$4,0),IF('Bobot CPMK'!$B$5='Peta CPL'!$A$15,'Bobot CPMK'!$P$5,0),IF('Bobot CPMK'!$B$6='Peta CPL'!$A$15,'Bobot CPMK'!$P$6,0),IF('Bobot CPMK'!$B$7='Peta CPL'!$A$15,'Bobot CPMK'!$P$7,0),IF('Bobot CPMK'!$B$8='Peta CPL'!$A$15,'Bobot CPMK'!$P$8,0),IF('Bobot CPMK'!$B$9='Peta CPL'!$A$15,'Bobot CPMK'!$P$9,0),IF('Bobot CPMK'!$B$10='Peta CPL'!$A$15,'Bobot CPMK'!$P$10,0),IF('Bobot CPMK'!$B$11='Peta CPL'!$A$15,'Bobot CPMK'!$P$11,0)),""))</f>
        <v/>
      </c>
      <c r="N14" s="7">
        <f>IF(OR($B14="",'Peta CPL'!$A$16=""),"",IFERROR(SUM(IF('Bobot CPMK'!$B$4='Peta CPL'!$A$16,N(D14)*'Bobot CPMK'!$P$4,0),IF('Bobot CPMK'!$B$5='Peta CPL'!$A$16,N(E14)*'Bobot CPMK'!$P$5,0),IF('Bobot CPMK'!$B$6='Peta CPL'!$A$16,N(F14)*'Bobot CPMK'!$P$6,0),IF('Bobot CPMK'!$B$7='Peta CPL'!$A$16,N(G14)*'Bobot CPMK'!$P$7,0),IF('Bobot CPMK'!$B$8='Peta CPL'!$A$16,N(H14)*'Bobot CPMK'!$P$8,0),IF('Bobot CPMK'!$B$9='Peta CPL'!$A$16,N(I14)*'Bobot CPMK'!$P$9,0),IF('Bobot CPMK'!$B$10='Peta CPL'!$A$16,N(J14)*'Bobot CPMK'!$P$10,0),IF('Bobot CPMK'!$B$11='Peta CPL'!$A$16,N(K14)*'Bobot CPMK'!$P$11,0))/SUM(IF('Bobot CPMK'!$B$4='Peta CPL'!$A$16,'Bobot CPMK'!$P$4,0),IF('Bobot CPMK'!$B$5='Peta CPL'!$A$16,'Bobot CPMK'!$P$5,0),IF('Bobot CPMK'!$B$6='Peta CPL'!$A$16,'Bobot CPMK'!$P$6,0),IF('Bobot CPMK'!$B$7='Peta CPL'!$A$16,'Bobot CPMK'!$P$7,0),IF('Bobot CPMK'!$B$8='Peta CPL'!$A$16,'Bobot CPMK'!$P$8,0),IF('Bobot CPMK'!$B$9='Peta CPL'!$A$16,'Bobot CPMK'!$P$9,0),IF('Bobot CPMK'!$B$10='Peta CPL'!$A$16,'Bobot CPMK'!$P$10,0),IF('Bobot CPMK'!$B$11='Peta CPL'!$A$16,'Bobot CPMK'!$P$11,0)),""))</f>
        <v/>
      </c>
      <c r="O14" s="7">
        <f>IF(OR($B14="",'Peta CPL'!$A$17=""),"",IFERROR(SUM(IF('Bobot CPMK'!$B$4='Peta CPL'!$A$17,N(D14)*'Bobot CPMK'!$P$4,0),IF('Bobot CPMK'!$B$5='Peta CPL'!$A$17,N(E14)*'Bobot CPMK'!$P$5,0),IF('Bobot CPMK'!$B$6='Peta CPL'!$A$17,N(F14)*'Bobot CPMK'!$P$6,0),IF('Bobot CPMK'!$B$7='Peta CPL'!$A$17,N(G14)*'Bobot CPMK'!$P$7,0),IF('Bobot CPMK'!$B$8='Peta CPL'!$A$17,N(H14)*'Bobot CPMK'!$P$8,0),IF('Bobot CPMK'!$B$9='Peta CPL'!$A$17,N(I14)*'Bobot CPMK'!$P$9,0),IF('Bobot CPMK'!$B$10='Peta CPL'!$A$17,N(J14)*'Bobot CPMK'!$P$10,0),IF('Bobot CPMK'!$B$11='Peta CPL'!$A$17,N(K14)*'Bobot CPMK'!$P$11,0))/SUM(IF('Bobot CPMK'!$B$4='Peta CPL'!$A$17,'Bobot CPMK'!$P$4,0),IF('Bobot CPMK'!$B$5='Peta CPL'!$A$17,'Bobot CPMK'!$P$5,0),IF('Bobot CPMK'!$B$6='Peta CPL'!$A$17,'Bobot CPMK'!$P$6,0),IF('Bobot CPMK'!$B$7='Peta CPL'!$A$17,'Bobot CPMK'!$P$7,0),IF('Bobot CPMK'!$B$8='Peta CPL'!$A$17,'Bobot CPMK'!$P$8,0),IF('Bobot CPMK'!$B$9='Peta CPL'!$A$17,'Bobot CPMK'!$P$9,0),IF('Bobot CPMK'!$B$10='Peta CPL'!$A$17,'Bobot CPMK'!$P$10,0),IF('Bobot CPMK'!$B$11='Peta CPL'!$A$17,'Bobot CPMK'!$P$11,0)),""))</f>
        <v/>
      </c>
      <c r="P14" s="7">
        <f>IF(OR($B14="",'Peta CPL'!$A$18=""),"",IFERROR(SUM(IF('Bobot CPMK'!$B$4='Peta CPL'!$A$18,N(D14)*'Bobot CPMK'!$P$4,0),IF('Bobot CPMK'!$B$5='Peta CPL'!$A$18,N(E14)*'Bobot CPMK'!$P$5,0),IF('Bobot CPMK'!$B$6='Peta CPL'!$A$18,N(F14)*'Bobot CPMK'!$P$6,0),IF('Bobot CPMK'!$B$7='Peta CPL'!$A$18,N(G14)*'Bobot CPMK'!$P$7,0),IF('Bobot CPMK'!$B$8='Peta CPL'!$A$18,N(H14)*'Bobot CPMK'!$P$8,0),IF('Bobot CPMK'!$B$9='Peta CPL'!$A$18,N(I14)*'Bobot CPMK'!$P$9,0),IF('Bobot CPMK'!$B$10='Peta CPL'!$A$18,N(J14)*'Bobot CPMK'!$P$10,0),IF('Bobot CPMK'!$B$11='Peta CPL'!$A$18,N(K14)*'Bobot CPMK'!$P$11,0))/SUM(IF('Bobot CPMK'!$B$4='Peta CPL'!$A$18,'Bobot CPMK'!$P$4,0),IF('Bobot CPMK'!$B$5='Peta CPL'!$A$18,'Bobot CPMK'!$P$5,0),IF('Bobot CPMK'!$B$6='Peta CPL'!$A$18,'Bobot CPMK'!$P$6,0),IF('Bobot CPMK'!$B$7='Peta CPL'!$A$18,'Bobot CPMK'!$P$7,0),IF('Bobot CPMK'!$B$8='Peta CPL'!$A$18,'Bobot CPMK'!$P$8,0),IF('Bobot CPMK'!$B$9='Peta CPL'!$A$18,'Bobot CPMK'!$P$9,0),IF('Bobot CPMK'!$B$10='Peta CPL'!$A$18,'Bobot CPMK'!$P$10,0),IF('Bobot CPMK'!$B$11='Peta CPL'!$A$18,'Bobot CPMK'!$P$11,0)),""))</f>
        <v/>
      </c>
      <c r="Q14" s="7">
        <f>IF(OR($B14="",'Peta CPL'!$A$19=""),"",IFERROR(SUM(IF('Bobot CPMK'!$B$4='Peta CPL'!$A$19,N(D14)*'Bobot CPMK'!$P$4,0),IF('Bobot CPMK'!$B$5='Peta CPL'!$A$19,N(E14)*'Bobot CPMK'!$P$5,0),IF('Bobot CPMK'!$B$6='Peta CPL'!$A$19,N(F14)*'Bobot CPMK'!$P$6,0),IF('Bobot CPMK'!$B$7='Peta CPL'!$A$19,N(G14)*'Bobot CPMK'!$P$7,0),IF('Bobot CPMK'!$B$8='Peta CPL'!$A$19,N(H14)*'Bobot CPMK'!$P$8,0),IF('Bobot CPMK'!$B$9='Peta CPL'!$A$19,N(I14)*'Bobot CPMK'!$P$9,0),IF('Bobot CPMK'!$B$10='Peta CPL'!$A$19,N(J14)*'Bobot CPMK'!$P$10,0),IF('Bobot CPMK'!$B$11='Peta CPL'!$A$19,N(K14)*'Bobot CPMK'!$P$11,0))/SUM(IF('Bobot CPMK'!$B$4='Peta CPL'!$A$19,'Bobot CPMK'!$P$4,0),IF('Bobot CPMK'!$B$5='Peta CPL'!$A$19,'Bobot CPMK'!$P$5,0),IF('Bobot CPMK'!$B$6='Peta CPL'!$A$19,'Bobot CPMK'!$P$6,0),IF('Bobot CPMK'!$B$7='Peta CPL'!$A$19,'Bobot CPMK'!$P$7,0),IF('Bobot CPMK'!$B$8='Peta CPL'!$A$19,'Bobot CPMK'!$P$8,0),IF('Bobot CPMK'!$B$9='Peta CPL'!$A$19,'Bobot CPMK'!$P$9,0),IF('Bobot CPMK'!$B$10='Peta CPL'!$A$19,'Bobot CPMK'!$P$10,0),IF('Bobot CPMK'!$B$11='Peta CPL'!$A$19,'Bobot CPMK'!$P$11,0)),""))</f>
        <v/>
      </c>
      <c r="R14" s="7">
        <f>IF(OR($B14="",'Peta CPL'!$A$20=""),"",IFERROR(SUM(IF('Bobot CPMK'!$B$4='Peta CPL'!$A$20,N(D14)*'Bobot CPMK'!$P$4,0),IF('Bobot CPMK'!$B$5='Peta CPL'!$A$20,N(E14)*'Bobot CPMK'!$P$5,0),IF('Bobot CPMK'!$B$6='Peta CPL'!$A$20,N(F14)*'Bobot CPMK'!$P$6,0),IF('Bobot CPMK'!$B$7='Peta CPL'!$A$20,N(G14)*'Bobot CPMK'!$P$7,0),IF('Bobot CPMK'!$B$8='Peta CPL'!$A$20,N(H14)*'Bobot CPMK'!$P$8,0),IF('Bobot CPMK'!$B$9='Peta CPL'!$A$20,N(I14)*'Bobot CPMK'!$P$9,0),IF('Bobot CPMK'!$B$10='Peta CPL'!$A$20,N(J14)*'Bobot CPMK'!$P$10,0),IF('Bobot CPMK'!$B$11='Peta CPL'!$A$20,N(K14)*'Bobot CPMK'!$P$11,0))/SUM(IF('Bobot CPMK'!$B$4='Peta CPL'!$A$20,'Bobot CPMK'!$P$4,0),IF('Bobot CPMK'!$B$5='Peta CPL'!$A$20,'Bobot CPMK'!$P$5,0),IF('Bobot CPMK'!$B$6='Peta CPL'!$A$20,'Bobot CPMK'!$P$6,0),IF('Bobot CPMK'!$B$7='Peta CPL'!$A$20,'Bobot CPMK'!$P$7,0),IF('Bobot CPMK'!$B$8='Peta CPL'!$A$20,'Bobot CPMK'!$P$8,0),IF('Bobot CPMK'!$B$9='Peta CPL'!$A$20,'Bobot CPMK'!$P$9,0),IF('Bobot CPMK'!$B$10='Peta CPL'!$A$20,'Bobot CPMK'!$P$10,0),IF('Bobot CPMK'!$B$11='Peta CPL'!$A$20,'Bobot CPMK'!$P$11,0)),""))</f>
        <v/>
      </c>
      <c r="S14" s="7">
        <f>IF(OR($B14="",'Peta CPL'!$A$21=""),"",IFERROR(SUM(IF('Bobot CPMK'!$B$4='Peta CPL'!$A$21,N(D14)*'Bobot CPMK'!$P$4,0),IF('Bobot CPMK'!$B$5='Peta CPL'!$A$21,N(E14)*'Bobot CPMK'!$P$5,0),IF('Bobot CPMK'!$B$6='Peta CPL'!$A$21,N(F14)*'Bobot CPMK'!$P$6,0),IF('Bobot CPMK'!$B$7='Peta CPL'!$A$21,N(G14)*'Bobot CPMK'!$P$7,0),IF('Bobot CPMK'!$B$8='Peta CPL'!$A$21,N(H14)*'Bobot CPMK'!$P$8,0),IF('Bobot CPMK'!$B$9='Peta CPL'!$A$21,N(I14)*'Bobot CPMK'!$P$9,0),IF('Bobot CPMK'!$B$10='Peta CPL'!$A$21,N(J14)*'Bobot CPMK'!$P$10,0),IF('Bobot CPMK'!$B$11='Peta CPL'!$A$21,N(K14)*'Bobot CPMK'!$P$11,0))/SUM(IF('Bobot CPMK'!$B$4='Peta CPL'!$A$21,'Bobot CPMK'!$P$4,0),IF('Bobot CPMK'!$B$5='Peta CPL'!$A$21,'Bobot CPMK'!$P$5,0),IF('Bobot CPMK'!$B$6='Peta CPL'!$A$21,'Bobot CPMK'!$P$6,0),IF('Bobot CPMK'!$B$7='Peta CPL'!$A$21,'Bobot CPMK'!$P$7,0),IF('Bobot CPMK'!$B$8='Peta CPL'!$A$21,'Bobot CPMK'!$P$8,0),IF('Bobot CPMK'!$B$9='Peta CPL'!$A$21,'Bobot CPMK'!$P$9,0),IF('Bobot CPMK'!$B$10='Peta CPL'!$A$21,'Bobot CPMK'!$P$10,0),IF('Bobot CPMK'!$B$11='Peta CPL'!$A$21,'Bobot CPMK'!$P$11,0)),""))</f>
        <v/>
      </c>
      <c r="T14" s="7">
        <f>IF(OR($B14="",'Peta CPL'!$A$5=""),"",IFERROR((N(L14)*N('Peta CPL'!$C$14)*N('Peta CPL'!$D$14)+N(M14)*N('Peta CPL'!$C$15)*N('Peta CPL'!$D$15)+N(N14)*N('Peta CPL'!$C$16)*N('Peta CPL'!$D$16)+N(O14)*N('Peta CPL'!$C$17)*N('Peta CPL'!$D$17)+N(P14)*N('Peta CPL'!$C$18)*N('Peta CPL'!$D$18)+N(Q14)*N('Peta CPL'!$C$19)*N('Peta CPL'!$D$19)+N(R14)*N('Peta CPL'!$C$20)*N('Peta CPL'!$D$20)+N(S14)*N('Peta CPL'!$C$21)*N('Peta CPL'!$D$21))/(N('Peta CPL'!$C$14)*N('Peta CPL'!$D$14)+N('Peta CPL'!$C$15)*N('Peta CPL'!$D$15)+N('Peta CPL'!$C$16)*N('Peta CPL'!$D$16)+N('Peta CPL'!$C$17)*N('Peta CPL'!$D$17)+N('Peta CPL'!$C$18)*N('Peta CPL'!$D$18)+N('Peta CPL'!$C$19)*N('Peta CPL'!$D$19)+N('Peta CPL'!$C$20)*N('Peta CPL'!$D$20)+N('Peta CPL'!$C$21)*N('Peta CPL'!$D$21)),""))</f>
        <v/>
      </c>
      <c r="U14" s="7">
        <f>IF(OR($B14="",'Peta CPL'!$A$6=""),"",IFERROR((N(L14)*N('Peta CPL'!$C$14)*N('Peta CPL'!$E$14)+N(M14)*N('Peta CPL'!$C$15)*N('Peta CPL'!$E$15)+N(N14)*N('Peta CPL'!$C$16)*N('Peta CPL'!$E$16)+N(O14)*N('Peta CPL'!$C$17)*N('Peta CPL'!$E$17)+N(P14)*N('Peta CPL'!$C$18)*N('Peta CPL'!$E$18)+N(Q14)*N('Peta CPL'!$C$19)*N('Peta CPL'!$E$19)+N(R14)*N('Peta CPL'!$C$20)*N('Peta CPL'!$E$20)+N(S14)*N('Peta CPL'!$C$21)*N('Peta CPL'!$E$21))/(N('Peta CPL'!$C$14)*N('Peta CPL'!$E$14)+N('Peta CPL'!$C$15)*N('Peta CPL'!$E$15)+N('Peta CPL'!$C$16)*N('Peta CPL'!$E$16)+N('Peta CPL'!$C$17)*N('Peta CPL'!$E$17)+N('Peta CPL'!$C$18)*N('Peta CPL'!$E$18)+N('Peta CPL'!$C$19)*N('Peta CPL'!$E$19)+N('Peta CPL'!$C$20)*N('Peta CPL'!$E$20)+N('Peta CPL'!$C$21)*N('Peta CPL'!$E$21)),""))</f>
        <v/>
      </c>
      <c r="V14" s="7">
        <f>IF(OR($B14="",'Peta CPL'!$A$7=""),"",IFERROR((N(L14)*N('Peta CPL'!$C$14)*N('Peta CPL'!$F$14)+N(M14)*N('Peta CPL'!$C$15)*N('Peta CPL'!$F$15)+N(N14)*N('Peta CPL'!$C$16)*N('Peta CPL'!$F$16)+N(O14)*N('Peta CPL'!$C$17)*N('Peta CPL'!$F$17)+N(P14)*N('Peta CPL'!$C$18)*N('Peta CPL'!$F$18)+N(Q14)*N('Peta CPL'!$C$19)*N('Peta CPL'!$F$19)+N(R14)*N('Peta CPL'!$C$20)*N('Peta CPL'!$F$20)+N(S14)*N('Peta CPL'!$C$21)*N('Peta CPL'!$F$21))/(N('Peta CPL'!$C$14)*N('Peta CPL'!$F$14)+N('Peta CPL'!$C$15)*N('Peta CPL'!$F$15)+N('Peta CPL'!$C$16)*N('Peta CPL'!$F$16)+N('Peta CPL'!$C$17)*N('Peta CPL'!$F$17)+N('Peta CPL'!$C$18)*N('Peta CPL'!$F$18)+N('Peta CPL'!$C$19)*N('Peta CPL'!$F$19)+N('Peta CPL'!$C$20)*N('Peta CPL'!$F$20)+N('Peta CPL'!$C$21)*N('Peta CPL'!$F$21)),""))</f>
        <v/>
      </c>
      <c r="W14" s="7">
        <f>IF(OR($B14="",'Peta CPL'!$A$8=""),"",IFERROR((N(L14)*N('Peta CPL'!$C$14)*N('Peta CPL'!$G$14)+N(M14)*N('Peta CPL'!$C$15)*N('Peta CPL'!$G$15)+N(N14)*N('Peta CPL'!$C$16)*N('Peta CPL'!$G$16)+N(O14)*N('Peta CPL'!$C$17)*N('Peta CPL'!$G$17)+N(P14)*N('Peta CPL'!$C$18)*N('Peta CPL'!$G$18)+N(Q14)*N('Peta CPL'!$C$19)*N('Peta CPL'!$G$19)+N(R14)*N('Peta CPL'!$C$20)*N('Peta CPL'!$G$20)+N(S14)*N('Peta CPL'!$C$21)*N('Peta CPL'!$G$21))/(N('Peta CPL'!$C$14)*N('Peta CPL'!$G$14)+N('Peta CPL'!$C$15)*N('Peta CPL'!$G$15)+N('Peta CPL'!$C$16)*N('Peta CPL'!$G$16)+N('Peta CPL'!$C$17)*N('Peta CPL'!$G$17)+N('Peta CPL'!$C$18)*N('Peta CPL'!$G$18)+N('Peta CPL'!$C$19)*N('Peta CPL'!$G$19)+N('Peta CPL'!$C$20)*N('Peta CPL'!$G$20)+N('Peta CPL'!$C$21)*N('Peta CPL'!$G$21)),""))</f>
        <v/>
      </c>
      <c r="X14" s="7">
        <f>IF(OR($B14="",'Peta CPL'!$A$9=""),"",IFERROR((N(L14)*N('Peta CPL'!$C$14)*N('Peta CPL'!$H$14)+N(M14)*N('Peta CPL'!$C$15)*N('Peta CPL'!$H$15)+N(N14)*N('Peta CPL'!$C$16)*N('Peta CPL'!$H$16)+N(O14)*N('Peta CPL'!$C$17)*N('Peta CPL'!$H$17)+N(P14)*N('Peta CPL'!$C$18)*N('Peta CPL'!$H$18)+N(Q14)*N('Peta CPL'!$C$19)*N('Peta CPL'!$H$19)+N(R14)*N('Peta CPL'!$C$20)*N('Peta CPL'!$H$20)+N(S14)*N('Peta CPL'!$C$21)*N('Peta CPL'!$H$21))/(N('Peta CPL'!$C$14)*N('Peta CPL'!$H$14)+N('Peta CPL'!$C$15)*N('Peta CPL'!$H$15)+N('Peta CPL'!$C$16)*N('Peta CPL'!$H$16)+N('Peta CPL'!$C$17)*N('Peta CPL'!$H$17)+N('Peta CPL'!$C$18)*N('Peta CPL'!$H$18)+N('Peta CPL'!$C$19)*N('Peta CPL'!$H$19)+N('Peta CPL'!$C$20)*N('Peta CPL'!$H$20)+N('Peta CPL'!$C$21)*N('Peta CPL'!$H$21)),""))</f>
        <v/>
      </c>
      <c r="Y14" s="7">
        <f>IF(OR($B14="",'Peta CPL'!$A$10=""),"",IFERROR((N(L14)*N('Peta CPL'!$C$14)*N('Peta CPL'!$I$14)+N(M14)*N('Peta CPL'!$C$15)*N('Peta CPL'!$I$15)+N(N14)*N('Peta CPL'!$C$16)*N('Peta CPL'!$I$16)+N(O14)*N('Peta CPL'!$C$17)*N('Peta CPL'!$I$17)+N(P14)*N('Peta CPL'!$C$18)*N('Peta CPL'!$I$18)+N(Q14)*N('Peta CPL'!$C$19)*N('Peta CPL'!$I$19)+N(R14)*N('Peta CPL'!$C$20)*N('Peta CPL'!$I$20)+N(S14)*N('Peta CPL'!$C$21)*N('Peta CPL'!$I$21))/(N('Peta CPL'!$C$14)*N('Peta CPL'!$I$14)+N('Peta CPL'!$C$15)*N('Peta CPL'!$I$15)+N('Peta CPL'!$C$16)*N('Peta CPL'!$I$16)+N('Peta CPL'!$C$17)*N('Peta CPL'!$I$17)+N('Peta CPL'!$C$18)*N('Peta CPL'!$I$18)+N('Peta CPL'!$C$19)*N('Peta CPL'!$I$19)+N('Peta CPL'!$C$20)*N('Peta CPL'!$I$20)+N('Peta CPL'!$C$21)*N('Peta CPL'!$I$21)),""))</f>
        <v/>
      </c>
      <c r="Z14" s="7">
        <f>IF($B14="","",IFERROR((N(L14)*N('Peta CPL'!$C$14)+N(M14)*N('Peta CPL'!$C$15)+N(N14)*N('Peta CPL'!$C$16)+N(O14)*N('Peta CPL'!$C$17)+N(P14)*N('Peta CPL'!$C$18)+N(Q14)*N('Peta CPL'!$C$19)+N(R14)*N('Peta CPL'!$C$20)+N(S14)*N('Peta CPL'!$C$21))/100,""))</f>
        <v/>
      </c>
    </row>
    <row r="15">
      <c r="A15" s="7">
        <f>'Input Nilai'!A15</f>
        <v/>
      </c>
      <c r="B15" s="7">
        <f>'Input Nilai'!B15</f>
        <v/>
      </c>
      <c r="C15" s="15">
        <f>'Input Nilai'!C15</f>
        <v/>
      </c>
      <c r="D15" s="7">
        <f>IF(OR('Input Nilai'!$B15="",'Bobot CPMK'!$O$4=0),"",(SUMPRODUCT('Input Nilai'!D15:L15,'Bobot CPMK'!$E$4:$M$4)+'Input Nilai'!$BX15*'Bobot CPMK'!$N$4)/'Bobot CPMK'!$O$4)</f>
        <v/>
      </c>
      <c r="E15" s="7">
        <f>IF(OR('Input Nilai'!$B15="",'Bobot CPMK'!$O$5=0),"",(SUMPRODUCT('Input Nilai'!M15:U15,'Bobot CPMK'!$E$5:$M$5)+'Input Nilai'!$BX15*'Bobot CPMK'!$N$5)/'Bobot CPMK'!$O$5)</f>
        <v/>
      </c>
      <c r="F15" s="7">
        <f>IF(OR('Input Nilai'!$B15="",'Bobot CPMK'!$O$6=0),"",(SUMPRODUCT('Input Nilai'!V15:AD15,'Bobot CPMK'!$E$6:$M$6)+'Input Nilai'!$BX15*'Bobot CPMK'!$N$6)/'Bobot CPMK'!$O$6)</f>
        <v/>
      </c>
      <c r="G15" s="7">
        <f>IF(OR('Input Nilai'!$B15="",'Bobot CPMK'!$O$7=0),"",(SUMPRODUCT('Input Nilai'!AE15:AM15,'Bobot CPMK'!$E$7:$M$7)+'Input Nilai'!$BX15*'Bobot CPMK'!$N$7)/'Bobot CPMK'!$O$7)</f>
        <v/>
      </c>
      <c r="H15" s="7">
        <f>IF(OR('Input Nilai'!$B15="",'Bobot CPMK'!$O$8=0),"",(SUMPRODUCT('Input Nilai'!AN15:AV15,'Bobot CPMK'!$E$8:$M$8)+'Input Nilai'!$BX15*'Bobot CPMK'!$N$8)/'Bobot CPMK'!$O$8)</f>
        <v/>
      </c>
      <c r="I15" s="7">
        <f>IF(OR('Input Nilai'!$B15="",'Bobot CPMK'!$O$9=0),"",(SUMPRODUCT('Input Nilai'!AW15:BE15,'Bobot CPMK'!$E$9:$M$9)+'Input Nilai'!$BX15*'Bobot CPMK'!$N$9)/'Bobot CPMK'!$O$9)</f>
        <v/>
      </c>
      <c r="J15" s="7">
        <f>IF(OR('Input Nilai'!$B15="",'Bobot CPMK'!$O$10=0),"",(SUMPRODUCT('Input Nilai'!BF15:BN15,'Bobot CPMK'!$E$10:$M$10)+'Input Nilai'!$BX15*'Bobot CPMK'!$N$10)/'Bobot CPMK'!$O$10)</f>
        <v/>
      </c>
      <c r="K15" s="7">
        <f>IF(OR('Input Nilai'!$B15="",'Bobot CPMK'!$O$11=0),"",(SUMPRODUCT('Input Nilai'!BO15:BW15,'Bobot CPMK'!$E$11:$M$11)+'Input Nilai'!$BX15*'Bobot CPMK'!$N$11)/'Bobot CPMK'!$O$11)</f>
        <v/>
      </c>
      <c r="L15" s="7">
        <f>IF(OR($B15="",'Peta CPL'!$A$14=""),"",IFERROR(SUM(IF('Bobot CPMK'!$B$4='Peta CPL'!$A$14,N(D15)*'Bobot CPMK'!$P$4,0),IF('Bobot CPMK'!$B$5='Peta CPL'!$A$14,N(E15)*'Bobot CPMK'!$P$5,0),IF('Bobot CPMK'!$B$6='Peta CPL'!$A$14,N(F15)*'Bobot CPMK'!$P$6,0),IF('Bobot CPMK'!$B$7='Peta CPL'!$A$14,N(G15)*'Bobot CPMK'!$P$7,0),IF('Bobot CPMK'!$B$8='Peta CPL'!$A$14,N(H15)*'Bobot CPMK'!$P$8,0),IF('Bobot CPMK'!$B$9='Peta CPL'!$A$14,N(I15)*'Bobot CPMK'!$P$9,0),IF('Bobot CPMK'!$B$10='Peta CPL'!$A$14,N(J15)*'Bobot CPMK'!$P$10,0),IF('Bobot CPMK'!$B$11='Peta CPL'!$A$14,N(K15)*'Bobot CPMK'!$P$11,0))/SUM(IF('Bobot CPMK'!$B$4='Peta CPL'!$A$14,'Bobot CPMK'!$P$4,0),IF('Bobot CPMK'!$B$5='Peta CPL'!$A$14,'Bobot CPMK'!$P$5,0),IF('Bobot CPMK'!$B$6='Peta CPL'!$A$14,'Bobot CPMK'!$P$6,0),IF('Bobot CPMK'!$B$7='Peta CPL'!$A$14,'Bobot CPMK'!$P$7,0),IF('Bobot CPMK'!$B$8='Peta CPL'!$A$14,'Bobot CPMK'!$P$8,0),IF('Bobot CPMK'!$B$9='Peta CPL'!$A$14,'Bobot CPMK'!$P$9,0),IF('Bobot CPMK'!$B$10='Peta CPL'!$A$14,'Bobot CPMK'!$P$10,0),IF('Bobot CPMK'!$B$11='Peta CPL'!$A$14,'Bobot CPMK'!$P$11,0)),""))</f>
        <v/>
      </c>
      <c r="M15" s="7">
        <f>IF(OR($B15="",'Peta CPL'!$A$15=""),"",IFERROR(SUM(IF('Bobot CPMK'!$B$4='Peta CPL'!$A$15,N(D15)*'Bobot CPMK'!$P$4,0),IF('Bobot CPMK'!$B$5='Peta CPL'!$A$15,N(E15)*'Bobot CPMK'!$P$5,0),IF('Bobot CPMK'!$B$6='Peta CPL'!$A$15,N(F15)*'Bobot CPMK'!$P$6,0),IF('Bobot CPMK'!$B$7='Peta CPL'!$A$15,N(G15)*'Bobot CPMK'!$P$7,0),IF('Bobot CPMK'!$B$8='Peta CPL'!$A$15,N(H15)*'Bobot CPMK'!$P$8,0),IF('Bobot CPMK'!$B$9='Peta CPL'!$A$15,N(I15)*'Bobot CPMK'!$P$9,0),IF('Bobot CPMK'!$B$10='Peta CPL'!$A$15,N(J15)*'Bobot CPMK'!$P$10,0),IF('Bobot CPMK'!$B$11='Peta CPL'!$A$15,N(K15)*'Bobot CPMK'!$P$11,0))/SUM(IF('Bobot CPMK'!$B$4='Peta CPL'!$A$15,'Bobot CPMK'!$P$4,0),IF('Bobot CPMK'!$B$5='Peta CPL'!$A$15,'Bobot CPMK'!$P$5,0),IF('Bobot CPMK'!$B$6='Peta CPL'!$A$15,'Bobot CPMK'!$P$6,0),IF('Bobot CPMK'!$B$7='Peta CPL'!$A$15,'Bobot CPMK'!$P$7,0),IF('Bobot CPMK'!$B$8='Peta CPL'!$A$15,'Bobot CPMK'!$P$8,0),IF('Bobot CPMK'!$B$9='Peta CPL'!$A$15,'Bobot CPMK'!$P$9,0),IF('Bobot CPMK'!$B$10='Peta CPL'!$A$15,'Bobot CPMK'!$P$10,0),IF('Bobot CPMK'!$B$11='Peta CPL'!$A$15,'Bobot CPMK'!$P$11,0)),""))</f>
        <v/>
      </c>
      <c r="N15" s="7">
        <f>IF(OR($B15="",'Peta CPL'!$A$16=""),"",IFERROR(SUM(IF('Bobot CPMK'!$B$4='Peta CPL'!$A$16,N(D15)*'Bobot CPMK'!$P$4,0),IF('Bobot CPMK'!$B$5='Peta CPL'!$A$16,N(E15)*'Bobot CPMK'!$P$5,0),IF('Bobot CPMK'!$B$6='Peta CPL'!$A$16,N(F15)*'Bobot CPMK'!$P$6,0),IF('Bobot CPMK'!$B$7='Peta CPL'!$A$16,N(G15)*'Bobot CPMK'!$P$7,0),IF('Bobot CPMK'!$B$8='Peta CPL'!$A$16,N(H15)*'Bobot CPMK'!$P$8,0),IF('Bobot CPMK'!$B$9='Peta CPL'!$A$16,N(I15)*'Bobot CPMK'!$P$9,0),IF('Bobot CPMK'!$B$10='Peta CPL'!$A$16,N(J15)*'Bobot CPMK'!$P$10,0),IF('Bobot CPMK'!$B$11='Peta CPL'!$A$16,N(K15)*'Bobot CPMK'!$P$11,0))/SUM(IF('Bobot CPMK'!$B$4='Peta CPL'!$A$16,'Bobot CPMK'!$P$4,0),IF('Bobot CPMK'!$B$5='Peta CPL'!$A$16,'Bobot CPMK'!$P$5,0),IF('Bobot CPMK'!$B$6='Peta CPL'!$A$16,'Bobot CPMK'!$P$6,0),IF('Bobot CPMK'!$B$7='Peta CPL'!$A$16,'Bobot CPMK'!$P$7,0),IF('Bobot CPMK'!$B$8='Peta CPL'!$A$16,'Bobot CPMK'!$P$8,0),IF('Bobot CPMK'!$B$9='Peta CPL'!$A$16,'Bobot CPMK'!$P$9,0),IF('Bobot CPMK'!$B$10='Peta CPL'!$A$16,'Bobot CPMK'!$P$10,0),IF('Bobot CPMK'!$B$11='Peta CPL'!$A$16,'Bobot CPMK'!$P$11,0)),""))</f>
        <v/>
      </c>
      <c r="O15" s="7">
        <f>IF(OR($B15="",'Peta CPL'!$A$17=""),"",IFERROR(SUM(IF('Bobot CPMK'!$B$4='Peta CPL'!$A$17,N(D15)*'Bobot CPMK'!$P$4,0),IF('Bobot CPMK'!$B$5='Peta CPL'!$A$17,N(E15)*'Bobot CPMK'!$P$5,0),IF('Bobot CPMK'!$B$6='Peta CPL'!$A$17,N(F15)*'Bobot CPMK'!$P$6,0),IF('Bobot CPMK'!$B$7='Peta CPL'!$A$17,N(G15)*'Bobot CPMK'!$P$7,0),IF('Bobot CPMK'!$B$8='Peta CPL'!$A$17,N(H15)*'Bobot CPMK'!$P$8,0),IF('Bobot CPMK'!$B$9='Peta CPL'!$A$17,N(I15)*'Bobot CPMK'!$P$9,0),IF('Bobot CPMK'!$B$10='Peta CPL'!$A$17,N(J15)*'Bobot CPMK'!$P$10,0),IF('Bobot CPMK'!$B$11='Peta CPL'!$A$17,N(K15)*'Bobot CPMK'!$P$11,0))/SUM(IF('Bobot CPMK'!$B$4='Peta CPL'!$A$17,'Bobot CPMK'!$P$4,0),IF('Bobot CPMK'!$B$5='Peta CPL'!$A$17,'Bobot CPMK'!$P$5,0),IF('Bobot CPMK'!$B$6='Peta CPL'!$A$17,'Bobot CPMK'!$P$6,0),IF('Bobot CPMK'!$B$7='Peta CPL'!$A$17,'Bobot CPMK'!$P$7,0),IF('Bobot CPMK'!$B$8='Peta CPL'!$A$17,'Bobot CPMK'!$P$8,0),IF('Bobot CPMK'!$B$9='Peta CPL'!$A$17,'Bobot CPMK'!$P$9,0),IF('Bobot CPMK'!$B$10='Peta CPL'!$A$17,'Bobot CPMK'!$P$10,0),IF('Bobot CPMK'!$B$11='Peta CPL'!$A$17,'Bobot CPMK'!$P$11,0)),""))</f>
        <v/>
      </c>
      <c r="P15" s="7">
        <f>IF(OR($B15="",'Peta CPL'!$A$18=""),"",IFERROR(SUM(IF('Bobot CPMK'!$B$4='Peta CPL'!$A$18,N(D15)*'Bobot CPMK'!$P$4,0),IF('Bobot CPMK'!$B$5='Peta CPL'!$A$18,N(E15)*'Bobot CPMK'!$P$5,0),IF('Bobot CPMK'!$B$6='Peta CPL'!$A$18,N(F15)*'Bobot CPMK'!$P$6,0),IF('Bobot CPMK'!$B$7='Peta CPL'!$A$18,N(G15)*'Bobot CPMK'!$P$7,0),IF('Bobot CPMK'!$B$8='Peta CPL'!$A$18,N(H15)*'Bobot CPMK'!$P$8,0),IF('Bobot CPMK'!$B$9='Peta CPL'!$A$18,N(I15)*'Bobot CPMK'!$P$9,0),IF('Bobot CPMK'!$B$10='Peta CPL'!$A$18,N(J15)*'Bobot CPMK'!$P$10,0),IF('Bobot CPMK'!$B$11='Peta CPL'!$A$18,N(K15)*'Bobot CPMK'!$P$11,0))/SUM(IF('Bobot CPMK'!$B$4='Peta CPL'!$A$18,'Bobot CPMK'!$P$4,0),IF('Bobot CPMK'!$B$5='Peta CPL'!$A$18,'Bobot CPMK'!$P$5,0),IF('Bobot CPMK'!$B$6='Peta CPL'!$A$18,'Bobot CPMK'!$P$6,0),IF('Bobot CPMK'!$B$7='Peta CPL'!$A$18,'Bobot CPMK'!$P$7,0),IF('Bobot CPMK'!$B$8='Peta CPL'!$A$18,'Bobot CPMK'!$P$8,0),IF('Bobot CPMK'!$B$9='Peta CPL'!$A$18,'Bobot CPMK'!$P$9,0),IF('Bobot CPMK'!$B$10='Peta CPL'!$A$18,'Bobot CPMK'!$P$10,0),IF('Bobot CPMK'!$B$11='Peta CPL'!$A$18,'Bobot CPMK'!$P$11,0)),""))</f>
        <v/>
      </c>
      <c r="Q15" s="7">
        <f>IF(OR($B15="",'Peta CPL'!$A$19=""),"",IFERROR(SUM(IF('Bobot CPMK'!$B$4='Peta CPL'!$A$19,N(D15)*'Bobot CPMK'!$P$4,0),IF('Bobot CPMK'!$B$5='Peta CPL'!$A$19,N(E15)*'Bobot CPMK'!$P$5,0),IF('Bobot CPMK'!$B$6='Peta CPL'!$A$19,N(F15)*'Bobot CPMK'!$P$6,0),IF('Bobot CPMK'!$B$7='Peta CPL'!$A$19,N(G15)*'Bobot CPMK'!$P$7,0),IF('Bobot CPMK'!$B$8='Peta CPL'!$A$19,N(H15)*'Bobot CPMK'!$P$8,0),IF('Bobot CPMK'!$B$9='Peta CPL'!$A$19,N(I15)*'Bobot CPMK'!$P$9,0),IF('Bobot CPMK'!$B$10='Peta CPL'!$A$19,N(J15)*'Bobot CPMK'!$P$10,0),IF('Bobot CPMK'!$B$11='Peta CPL'!$A$19,N(K15)*'Bobot CPMK'!$P$11,0))/SUM(IF('Bobot CPMK'!$B$4='Peta CPL'!$A$19,'Bobot CPMK'!$P$4,0),IF('Bobot CPMK'!$B$5='Peta CPL'!$A$19,'Bobot CPMK'!$P$5,0),IF('Bobot CPMK'!$B$6='Peta CPL'!$A$19,'Bobot CPMK'!$P$6,0),IF('Bobot CPMK'!$B$7='Peta CPL'!$A$19,'Bobot CPMK'!$P$7,0),IF('Bobot CPMK'!$B$8='Peta CPL'!$A$19,'Bobot CPMK'!$P$8,0),IF('Bobot CPMK'!$B$9='Peta CPL'!$A$19,'Bobot CPMK'!$P$9,0),IF('Bobot CPMK'!$B$10='Peta CPL'!$A$19,'Bobot CPMK'!$P$10,0),IF('Bobot CPMK'!$B$11='Peta CPL'!$A$19,'Bobot CPMK'!$P$11,0)),""))</f>
        <v/>
      </c>
      <c r="R15" s="7">
        <f>IF(OR($B15="",'Peta CPL'!$A$20=""),"",IFERROR(SUM(IF('Bobot CPMK'!$B$4='Peta CPL'!$A$20,N(D15)*'Bobot CPMK'!$P$4,0),IF('Bobot CPMK'!$B$5='Peta CPL'!$A$20,N(E15)*'Bobot CPMK'!$P$5,0),IF('Bobot CPMK'!$B$6='Peta CPL'!$A$20,N(F15)*'Bobot CPMK'!$P$6,0),IF('Bobot CPMK'!$B$7='Peta CPL'!$A$20,N(G15)*'Bobot CPMK'!$P$7,0),IF('Bobot CPMK'!$B$8='Peta CPL'!$A$20,N(H15)*'Bobot CPMK'!$P$8,0),IF('Bobot CPMK'!$B$9='Peta CPL'!$A$20,N(I15)*'Bobot CPMK'!$P$9,0),IF('Bobot CPMK'!$B$10='Peta CPL'!$A$20,N(J15)*'Bobot CPMK'!$P$10,0),IF('Bobot CPMK'!$B$11='Peta CPL'!$A$20,N(K15)*'Bobot CPMK'!$P$11,0))/SUM(IF('Bobot CPMK'!$B$4='Peta CPL'!$A$20,'Bobot CPMK'!$P$4,0),IF('Bobot CPMK'!$B$5='Peta CPL'!$A$20,'Bobot CPMK'!$P$5,0),IF('Bobot CPMK'!$B$6='Peta CPL'!$A$20,'Bobot CPMK'!$P$6,0),IF('Bobot CPMK'!$B$7='Peta CPL'!$A$20,'Bobot CPMK'!$P$7,0),IF('Bobot CPMK'!$B$8='Peta CPL'!$A$20,'Bobot CPMK'!$P$8,0),IF('Bobot CPMK'!$B$9='Peta CPL'!$A$20,'Bobot CPMK'!$P$9,0),IF('Bobot CPMK'!$B$10='Peta CPL'!$A$20,'Bobot CPMK'!$P$10,0),IF('Bobot CPMK'!$B$11='Peta CPL'!$A$20,'Bobot CPMK'!$P$11,0)),""))</f>
        <v/>
      </c>
      <c r="S15" s="7">
        <f>IF(OR($B15="",'Peta CPL'!$A$21=""),"",IFERROR(SUM(IF('Bobot CPMK'!$B$4='Peta CPL'!$A$21,N(D15)*'Bobot CPMK'!$P$4,0),IF('Bobot CPMK'!$B$5='Peta CPL'!$A$21,N(E15)*'Bobot CPMK'!$P$5,0),IF('Bobot CPMK'!$B$6='Peta CPL'!$A$21,N(F15)*'Bobot CPMK'!$P$6,0),IF('Bobot CPMK'!$B$7='Peta CPL'!$A$21,N(G15)*'Bobot CPMK'!$P$7,0),IF('Bobot CPMK'!$B$8='Peta CPL'!$A$21,N(H15)*'Bobot CPMK'!$P$8,0),IF('Bobot CPMK'!$B$9='Peta CPL'!$A$21,N(I15)*'Bobot CPMK'!$P$9,0),IF('Bobot CPMK'!$B$10='Peta CPL'!$A$21,N(J15)*'Bobot CPMK'!$P$10,0),IF('Bobot CPMK'!$B$11='Peta CPL'!$A$21,N(K15)*'Bobot CPMK'!$P$11,0))/SUM(IF('Bobot CPMK'!$B$4='Peta CPL'!$A$21,'Bobot CPMK'!$P$4,0),IF('Bobot CPMK'!$B$5='Peta CPL'!$A$21,'Bobot CPMK'!$P$5,0),IF('Bobot CPMK'!$B$6='Peta CPL'!$A$21,'Bobot CPMK'!$P$6,0),IF('Bobot CPMK'!$B$7='Peta CPL'!$A$21,'Bobot CPMK'!$P$7,0),IF('Bobot CPMK'!$B$8='Peta CPL'!$A$21,'Bobot CPMK'!$P$8,0),IF('Bobot CPMK'!$B$9='Peta CPL'!$A$21,'Bobot CPMK'!$P$9,0),IF('Bobot CPMK'!$B$10='Peta CPL'!$A$21,'Bobot CPMK'!$P$10,0),IF('Bobot CPMK'!$B$11='Peta CPL'!$A$21,'Bobot CPMK'!$P$11,0)),""))</f>
        <v/>
      </c>
      <c r="T15" s="7">
        <f>IF(OR($B15="",'Peta CPL'!$A$5=""),"",IFERROR((N(L15)*N('Peta CPL'!$C$14)*N('Peta CPL'!$D$14)+N(M15)*N('Peta CPL'!$C$15)*N('Peta CPL'!$D$15)+N(N15)*N('Peta CPL'!$C$16)*N('Peta CPL'!$D$16)+N(O15)*N('Peta CPL'!$C$17)*N('Peta CPL'!$D$17)+N(P15)*N('Peta CPL'!$C$18)*N('Peta CPL'!$D$18)+N(Q15)*N('Peta CPL'!$C$19)*N('Peta CPL'!$D$19)+N(R15)*N('Peta CPL'!$C$20)*N('Peta CPL'!$D$20)+N(S15)*N('Peta CPL'!$C$21)*N('Peta CPL'!$D$21))/(N('Peta CPL'!$C$14)*N('Peta CPL'!$D$14)+N('Peta CPL'!$C$15)*N('Peta CPL'!$D$15)+N('Peta CPL'!$C$16)*N('Peta CPL'!$D$16)+N('Peta CPL'!$C$17)*N('Peta CPL'!$D$17)+N('Peta CPL'!$C$18)*N('Peta CPL'!$D$18)+N('Peta CPL'!$C$19)*N('Peta CPL'!$D$19)+N('Peta CPL'!$C$20)*N('Peta CPL'!$D$20)+N('Peta CPL'!$C$21)*N('Peta CPL'!$D$21)),""))</f>
        <v/>
      </c>
      <c r="U15" s="7">
        <f>IF(OR($B15="",'Peta CPL'!$A$6=""),"",IFERROR((N(L15)*N('Peta CPL'!$C$14)*N('Peta CPL'!$E$14)+N(M15)*N('Peta CPL'!$C$15)*N('Peta CPL'!$E$15)+N(N15)*N('Peta CPL'!$C$16)*N('Peta CPL'!$E$16)+N(O15)*N('Peta CPL'!$C$17)*N('Peta CPL'!$E$17)+N(P15)*N('Peta CPL'!$C$18)*N('Peta CPL'!$E$18)+N(Q15)*N('Peta CPL'!$C$19)*N('Peta CPL'!$E$19)+N(R15)*N('Peta CPL'!$C$20)*N('Peta CPL'!$E$20)+N(S15)*N('Peta CPL'!$C$21)*N('Peta CPL'!$E$21))/(N('Peta CPL'!$C$14)*N('Peta CPL'!$E$14)+N('Peta CPL'!$C$15)*N('Peta CPL'!$E$15)+N('Peta CPL'!$C$16)*N('Peta CPL'!$E$16)+N('Peta CPL'!$C$17)*N('Peta CPL'!$E$17)+N('Peta CPL'!$C$18)*N('Peta CPL'!$E$18)+N('Peta CPL'!$C$19)*N('Peta CPL'!$E$19)+N('Peta CPL'!$C$20)*N('Peta CPL'!$E$20)+N('Peta CPL'!$C$21)*N('Peta CPL'!$E$21)),""))</f>
        <v/>
      </c>
      <c r="V15" s="7">
        <f>IF(OR($B15="",'Peta CPL'!$A$7=""),"",IFERROR((N(L15)*N('Peta CPL'!$C$14)*N('Peta CPL'!$F$14)+N(M15)*N('Peta CPL'!$C$15)*N('Peta CPL'!$F$15)+N(N15)*N('Peta CPL'!$C$16)*N('Peta CPL'!$F$16)+N(O15)*N('Peta CPL'!$C$17)*N('Peta CPL'!$F$17)+N(P15)*N('Peta CPL'!$C$18)*N('Peta CPL'!$F$18)+N(Q15)*N('Peta CPL'!$C$19)*N('Peta CPL'!$F$19)+N(R15)*N('Peta CPL'!$C$20)*N('Peta CPL'!$F$20)+N(S15)*N('Peta CPL'!$C$21)*N('Peta CPL'!$F$21))/(N('Peta CPL'!$C$14)*N('Peta CPL'!$F$14)+N('Peta CPL'!$C$15)*N('Peta CPL'!$F$15)+N('Peta CPL'!$C$16)*N('Peta CPL'!$F$16)+N('Peta CPL'!$C$17)*N('Peta CPL'!$F$17)+N('Peta CPL'!$C$18)*N('Peta CPL'!$F$18)+N('Peta CPL'!$C$19)*N('Peta CPL'!$F$19)+N('Peta CPL'!$C$20)*N('Peta CPL'!$F$20)+N('Peta CPL'!$C$21)*N('Peta CPL'!$F$21)),""))</f>
        <v/>
      </c>
      <c r="W15" s="7">
        <f>IF(OR($B15="",'Peta CPL'!$A$8=""),"",IFERROR((N(L15)*N('Peta CPL'!$C$14)*N('Peta CPL'!$G$14)+N(M15)*N('Peta CPL'!$C$15)*N('Peta CPL'!$G$15)+N(N15)*N('Peta CPL'!$C$16)*N('Peta CPL'!$G$16)+N(O15)*N('Peta CPL'!$C$17)*N('Peta CPL'!$G$17)+N(P15)*N('Peta CPL'!$C$18)*N('Peta CPL'!$G$18)+N(Q15)*N('Peta CPL'!$C$19)*N('Peta CPL'!$G$19)+N(R15)*N('Peta CPL'!$C$20)*N('Peta CPL'!$G$20)+N(S15)*N('Peta CPL'!$C$21)*N('Peta CPL'!$G$21))/(N('Peta CPL'!$C$14)*N('Peta CPL'!$G$14)+N('Peta CPL'!$C$15)*N('Peta CPL'!$G$15)+N('Peta CPL'!$C$16)*N('Peta CPL'!$G$16)+N('Peta CPL'!$C$17)*N('Peta CPL'!$G$17)+N('Peta CPL'!$C$18)*N('Peta CPL'!$G$18)+N('Peta CPL'!$C$19)*N('Peta CPL'!$G$19)+N('Peta CPL'!$C$20)*N('Peta CPL'!$G$20)+N('Peta CPL'!$C$21)*N('Peta CPL'!$G$21)),""))</f>
        <v/>
      </c>
      <c r="X15" s="7">
        <f>IF(OR($B15="",'Peta CPL'!$A$9=""),"",IFERROR((N(L15)*N('Peta CPL'!$C$14)*N('Peta CPL'!$H$14)+N(M15)*N('Peta CPL'!$C$15)*N('Peta CPL'!$H$15)+N(N15)*N('Peta CPL'!$C$16)*N('Peta CPL'!$H$16)+N(O15)*N('Peta CPL'!$C$17)*N('Peta CPL'!$H$17)+N(P15)*N('Peta CPL'!$C$18)*N('Peta CPL'!$H$18)+N(Q15)*N('Peta CPL'!$C$19)*N('Peta CPL'!$H$19)+N(R15)*N('Peta CPL'!$C$20)*N('Peta CPL'!$H$20)+N(S15)*N('Peta CPL'!$C$21)*N('Peta CPL'!$H$21))/(N('Peta CPL'!$C$14)*N('Peta CPL'!$H$14)+N('Peta CPL'!$C$15)*N('Peta CPL'!$H$15)+N('Peta CPL'!$C$16)*N('Peta CPL'!$H$16)+N('Peta CPL'!$C$17)*N('Peta CPL'!$H$17)+N('Peta CPL'!$C$18)*N('Peta CPL'!$H$18)+N('Peta CPL'!$C$19)*N('Peta CPL'!$H$19)+N('Peta CPL'!$C$20)*N('Peta CPL'!$H$20)+N('Peta CPL'!$C$21)*N('Peta CPL'!$H$21)),""))</f>
        <v/>
      </c>
      <c r="Y15" s="7">
        <f>IF(OR($B15="",'Peta CPL'!$A$10=""),"",IFERROR((N(L15)*N('Peta CPL'!$C$14)*N('Peta CPL'!$I$14)+N(M15)*N('Peta CPL'!$C$15)*N('Peta CPL'!$I$15)+N(N15)*N('Peta CPL'!$C$16)*N('Peta CPL'!$I$16)+N(O15)*N('Peta CPL'!$C$17)*N('Peta CPL'!$I$17)+N(P15)*N('Peta CPL'!$C$18)*N('Peta CPL'!$I$18)+N(Q15)*N('Peta CPL'!$C$19)*N('Peta CPL'!$I$19)+N(R15)*N('Peta CPL'!$C$20)*N('Peta CPL'!$I$20)+N(S15)*N('Peta CPL'!$C$21)*N('Peta CPL'!$I$21))/(N('Peta CPL'!$C$14)*N('Peta CPL'!$I$14)+N('Peta CPL'!$C$15)*N('Peta CPL'!$I$15)+N('Peta CPL'!$C$16)*N('Peta CPL'!$I$16)+N('Peta CPL'!$C$17)*N('Peta CPL'!$I$17)+N('Peta CPL'!$C$18)*N('Peta CPL'!$I$18)+N('Peta CPL'!$C$19)*N('Peta CPL'!$I$19)+N('Peta CPL'!$C$20)*N('Peta CPL'!$I$20)+N('Peta CPL'!$C$21)*N('Peta CPL'!$I$21)),""))</f>
        <v/>
      </c>
      <c r="Z15" s="7">
        <f>IF($B15="","",IFERROR((N(L15)*N('Peta CPL'!$C$14)+N(M15)*N('Peta CPL'!$C$15)+N(N15)*N('Peta CPL'!$C$16)+N(O15)*N('Peta CPL'!$C$17)+N(P15)*N('Peta CPL'!$C$18)+N(Q15)*N('Peta CPL'!$C$19)+N(R15)*N('Peta CPL'!$C$20)+N(S15)*N('Peta CPL'!$C$21))/100,""))</f>
        <v/>
      </c>
    </row>
    <row r="16">
      <c r="A16" s="7">
        <f>'Input Nilai'!A16</f>
        <v/>
      </c>
      <c r="B16" s="7">
        <f>'Input Nilai'!B16</f>
        <v/>
      </c>
      <c r="C16" s="15">
        <f>'Input Nilai'!C16</f>
        <v/>
      </c>
      <c r="D16" s="7">
        <f>IF(OR('Input Nilai'!$B16="",'Bobot CPMK'!$O$4=0),"",(SUMPRODUCT('Input Nilai'!D16:L16,'Bobot CPMK'!$E$4:$M$4)+'Input Nilai'!$BX16*'Bobot CPMK'!$N$4)/'Bobot CPMK'!$O$4)</f>
        <v/>
      </c>
      <c r="E16" s="7">
        <f>IF(OR('Input Nilai'!$B16="",'Bobot CPMK'!$O$5=0),"",(SUMPRODUCT('Input Nilai'!M16:U16,'Bobot CPMK'!$E$5:$M$5)+'Input Nilai'!$BX16*'Bobot CPMK'!$N$5)/'Bobot CPMK'!$O$5)</f>
        <v/>
      </c>
      <c r="F16" s="7">
        <f>IF(OR('Input Nilai'!$B16="",'Bobot CPMK'!$O$6=0),"",(SUMPRODUCT('Input Nilai'!V16:AD16,'Bobot CPMK'!$E$6:$M$6)+'Input Nilai'!$BX16*'Bobot CPMK'!$N$6)/'Bobot CPMK'!$O$6)</f>
        <v/>
      </c>
      <c r="G16" s="7">
        <f>IF(OR('Input Nilai'!$B16="",'Bobot CPMK'!$O$7=0),"",(SUMPRODUCT('Input Nilai'!AE16:AM16,'Bobot CPMK'!$E$7:$M$7)+'Input Nilai'!$BX16*'Bobot CPMK'!$N$7)/'Bobot CPMK'!$O$7)</f>
        <v/>
      </c>
      <c r="H16" s="7">
        <f>IF(OR('Input Nilai'!$B16="",'Bobot CPMK'!$O$8=0),"",(SUMPRODUCT('Input Nilai'!AN16:AV16,'Bobot CPMK'!$E$8:$M$8)+'Input Nilai'!$BX16*'Bobot CPMK'!$N$8)/'Bobot CPMK'!$O$8)</f>
        <v/>
      </c>
      <c r="I16" s="7">
        <f>IF(OR('Input Nilai'!$B16="",'Bobot CPMK'!$O$9=0),"",(SUMPRODUCT('Input Nilai'!AW16:BE16,'Bobot CPMK'!$E$9:$M$9)+'Input Nilai'!$BX16*'Bobot CPMK'!$N$9)/'Bobot CPMK'!$O$9)</f>
        <v/>
      </c>
      <c r="J16" s="7">
        <f>IF(OR('Input Nilai'!$B16="",'Bobot CPMK'!$O$10=0),"",(SUMPRODUCT('Input Nilai'!BF16:BN16,'Bobot CPMK'!$E$10:$M$10)+'Input Nilai'!$BX16*'Bobot CPMK'!$N$10)/'Bobot CPMK'!$O$10)</f>
        <v/>
      </c>
      <c r="K16" s="7">
        <f>IF(OR('Input Nilai'!$B16="",'Bobot CPMK'!$O$11=0),"",(SUMPRODUCT('Input Nilai'!BO16:BW16,'Bobot CPMK'!$E$11:$M$11)+'Input Nilai'!$BX16*'Bobot CPMK'!$N$11)/'Bobot CPMK'!$O$11)</f>
        <v/>
      </c>
      <c r="L16" s="7">
        <f>IF(OR($B16="",'Peta CPL'!$A$14=""),"",IFERROR(SUM(IF('Bobot CPMK'!$B$4='Peta CPL'!$A$14,N(D16)*'Bobot CPMK'!$P$4,0),IF('Bobot CPMK'!$B$5='Peta CPL'!$A$14,N(E16)*'Bobot CPMK'!$P$5,0),IF('Bobot CPMK'!$B$6='Peta CPL'!$A$14,N(F16)*'Bobot CPMK'!$P$6,0),IF('Bobot CPMK'!$B$7='Peta CPL'!$A$14,N(G16)*'Bobot CPMK'!$P$7,0),IF('Bobot CPMK'!$B$8='Peta CPL'!$A$14,N(H16)*'Bobot CPMK'!$P$8,0),IF('Bobot CPMK'!$B$9='Peta CPL'!$A$14,N(I16)*'Bobot CPMK'!$P$9,0),IF('Bobot CPMK'!$B$10='Peta CPL'!$A$14,N(J16)*'Bobot CPMK'!$P$10,0),IF('Bobot CPMK'!$B$11='Peta CPL'!$A$14,N(K16)*'Bobot CPMK'!$P$11,0))/SUM(IF('Bobot CPMK'!$B$4='Peta CPL'!$A$14,'Bobot CPMK'!$P$4,0),IF('Bobot CPMK'!$B$5='Peta CPL'!$A$14,'Bobot CPMK'!$P$5,0),IF('Bobot CPMK'!$B$6='Peta CPL'!$A$14,'Bobot CPMK'!$P$6,0),IF('Bobot CPMK'!$B$7='Peta CPL'!$A$14,'Bobot CPMK'!$P$7,0),IF('Bobot CPMK'!$B$8='Peta CPL'!$A$14,'Bobot CPMK'!$P$8,0),IF('Bobot CPMK'!$B$9='Peta CPL'!$A$14,'Bobot CPMK'!$P$9,0),IF('Bobot CPMK'!$B$10='Peta CPL'!$A$14,'Bobot CPMK'!$P$10,0),IF('Bobot CPMK'!$B$11='Peta CPL'!$A$14,'Bobot CPMK'!$P$11,0)),""))</f>
        <v/>
      </c>
      <c r="M16" s="7">
        <f>IF(OR($B16="",'Peta CPL'!$A$15=""),"",IFERROR(SUM(IF('Bobot CPMK'!$B$4='Peta CPL'!$A$15,N(D16)*'Bobot CPMK'!$P$4,0),IF('Bobot CPMK'!$B$5='Peta CPL'!$A$15,N(E16)*'Bobot CPMK'!$P$5,0),IF('Bobot CPMK'!$B$6='Peta CPL'!$A$15,N(F16)*'Bobot CPMK'!$P$6,0),IF('Bobot CPMK'!$B$7='Peta CPL'!$A$15,N(G16)*'Bobot CPMK'!$P$7,0),IF('Bobot CPMK'!$B$8='Peta CPL'!$A$15,N(H16)*'Bobot CPMK'!$P$8,0),IF('Bobot CPMK'!$B$9='Peta CPL'!$A$15,N(I16)*'Bobot CPMK'!$P$9,0),IF('Bobot CPMK'!$B$10='Peta CPL'!$A$15,N(J16)*'Bobot CPMK'!$P$10,0),IF('Bobot CPMK'!$B$11='Peta CPL'!$A$15,N(K16)*'Bobot CPMK'!$P$11,0))/SUM(IF('Bobot CPMK'!$B$4='Peta CPL'!$A$15,'Bobot CPMK'!$P$4,0),IF('Bobot CPMK'!$B$5='Peta CPL'!$A$15,'Bobot CPMK'!$P$5,0),IF('Bobot CPMK'!$B$6='Peta CPL'!$A$15,'Bobot CPMK'!$P$6,0),IF('Bobot CPMK'!$B$7='Peta CPL'!$A$15,'Bobot CPMK'!$P$7,0),IF('Bobot CPMK'!$B$8='Peta CPL'!$A$15,'Bobot CPMK'!$P$8,0),IF('Bobot CPMK'!$B$9='Peta CPL'!$A$15,'Bobot CPMK'!$P$9,0),IF('Bobot CPMK'!$B$10='Peta CPL'!$A$15,'Bobot CPMK'!$P$10,0),IF('Bobot CPMK'!$B$11='Peta CPL'!$A$15,'Bobot CPMK'!$P$11,0)),""))</f>
        <v/>
      </c>
      <c r="N16" s="7">
        <f>IF(OR($B16="",'Peta CPL'!$A$16=""),"",IFERROR(SUM(IF('Bobot CPMK'!$B$4='Peta CPL'!$A$16,N(D16)*'Bobot CPMK'!$P$4,0),IF('Bobot CPMK'!$B$5='Peta CPL'!$A$16,N(E16)*'Bobot CPMK'!$P$5,0),IF('Bobot CPMK'!$B$6='Peta CPL'!$A$16,N(F16)*'Bobot CPMK'!$P$6,0),IF('Bobot CPMK'!$B$7='Peta CPL'!$A$16,N(G16)*'Bobot CPMK'!$P$7,0),IF('Bobot CPMK'!$B$8='Peta CPL'!$A$16,N(H16)*'Bobot CPMK'!$P$8,0),IF('Bobot CPMK'!$B$9='Peta CPL'!$A$16,N(I16)*'Bobot CPMK'!$P$9,0),IF('Bobot CPMK'!$B$10='Peta CPL'!$A$16,N(J16)*'Bobot CPMK'!$P$10,0),IF('Bobot CPMK'!$B$11='Peta CPL'!$A$16,N(K16)*'Bobot CPMK'!$P$11,0))/SUM(IF('Bobot CPMK'!$B$4='Peta CPL'!$A$16,'Bobot CPMK'!$P$4,0),IF('Bobot CPMK'!$B$5='Peta CPL'!$A$16,'Bobot CPMK'!$P$5,0),IF('Bobot CPMK'!$B$6='Peta CPL'!$A$16,'Bobot CPMK'!$P$6,0),IF('Bobot CPMK'!$B$7='Peta CPL'!$A$16,'Bobot CPMK'!$P$7,0),IF('Bobot CPMK'!$B$8='Peta CPL'!$A$16,'Bobot CPMK'!$P$8,0),IF('Bobot CPMK'!$B$9='Peta CPL'!$A$16,'Bobot CPMK'!$P$9,0),IF('Bobot CPMK'!$B$10='Peta CPL'!$A$16,'Bobot CPMK'!$P$10,0),IF('Bobot CPMK'!$B$11='Peta CPL'!$A$16,'Bobot CPMK'!$P$11,0)),""))</f>
        <v/>
      </c>
      <c r="O16" s="7">
        <f>IF(OR($B16="",'Peta CPL'!$A$17=""),"",IFERROR(SUM(IF('Bobot CPMK'!$B$4='Peta CPL'!$A$17,N(D16)*'Bobot CPMK'!$P$4,0),IF('Bobot CPMK'!$B$5='Peta CPL'!$A$17,N(E16)*'Bobot CPMK'!$P$5,0),IF('Bobot CPMK'!$B$6='Peta CPL'!$A$17,N(F16)*'Bobot CPMK'!$P$6,0),IF('Bobot CPMK'!$B$7='Peta CPL'!$A$17,N(G16)*'Bobot CPMK'!$P$7,0),IF('Bobot CPMK'!$B$8='Peta CPL'!$A$17,N(H16)*'Bobot CPMK'!$P$8,0),IF('Bobot CPMK'!$B$9='Peta CPL'!$A$17,N(I16)*'Bobot CPMK'!$P$9,0),IF('Bobot CPMK'!$B$10='Peta CPL'!$A$17,N(J16)*'Bobot CPMK'!$P$10,0),IF('Bobot CPMK'!$B$11='Peta CPL'!$A$17,N(K16)*'Bobot CPMK'!$P$11,0))/SUM(IF('Bobot CPMK'!$B$4='Peta CPL'!$A$17,'Bobot CPMK'!$P$4,0),IF('Bobot CPMK'!$B$5='Peta CPL'!$A$17,'Bobot CPMK'!$P$5,0),IF('Bobot CPMK'!$B$6='Peta CPL'!$A$17,'Bobot CPMK'!$P$6,0),IF('Bobot CPMK'!$B$7='Peta CPL'!$A$17,'Bobot CPMK'!$P$7,0),IF('Bobot CPMK'!$B$8='Peta CPL'!$A$17,'Bobot CPMK'!$P$8,0),IF('Bobot CPMK'!$B$9='Peta CPL'!$A$17,'Bobot CPMK'!$P$9,0),IF('Bobot CPMK'!$B$10='Peta CPL'!$A$17,'Bobot CPMK'!$P$10,0),IF('Bobot CPMK'!$B$11='Peta CPL'!$A$17,'Bobot CPMK'!$P$11,0)),""))</f>
        <v/>
      </c>
      <c r="P16" s="7">
        <f>IF(OR($B16="",'Peta CPL'!$A$18=""),"",IFERROR(SUM(IF('Bobot CPMK'!$B$4='Peta CPL'!$A$18,N(D16)*'Bobot CPMK'!$P$4,0),IF('Bobot CPMK'!$B$5='Peta CPL'!$A$18,N(E16)*'Bobot CPMK'!$P$5,0),IF('Bobot CPMK'!$B$6='Peta CPL'!$A$18,N(F16)*'Bobot CPMK'!$P$6,0),IF('Bobot CPMK'!$B$7='Peta CPL'!$A$18,N(G16)*'Bobot CPMK'!$P$7,0),IF('Bobot CPMK'!$B$8='Peta CPL'!$A$18,N(H16)*'Bobot CPMK'!$P$8,0),IF('Bobot CPMK'!$B$9='Peta CPL'!$A$18,N(I16)*'Bobot CPMK'!$P$9,0),IF('Bobot CPMK'!$B$10='Peta CPL'!$A$18,N(J16)*'Bobot CPMK'!$P$10,0),IF('Bobot CPMK'!$B$11='Peta CPL'!$A$18,N(K16)*'Bobot CPMK'!$P$11,0))/SUM(IF('Bobot CPMK'!$B$4='Peta CPL'!$A$18,'Bobot CPMK'!$P$4,0),IF('Bobot CPMK'!$B$5='Peta CPL'!$A$18,'Bobot CPMK'!$P$5,0),IF('Bobot CPMK'!$B$6='Peta CPL'!$A$18,'Bobot CPMK'!$P$6,0),IF('Bobot CPMK'!$B$7='Peta CPL'!$A$18,'Bobot CPMK'!$P$7,0),IF('Bobot CPMK'!$B$8='Peta CPL'!$A$18,'Bobot CPMK'!$P$8,0),IF('Bobot CPMK'!$B$9='Peta CPL'!$A$18,'Bobot CPMK'!$P$9,0),IF('Bobot CPMK'!$B$10='Peta CPL'!$A$18,'Bobot CPMK'!$P$10,0),IF('Bobot CPMK'!$B$11='Peta CPL'!$A$18,'Bobot CPMK'!$P$11,0)),""))</f>
        <v/>
      </c>
      <c r="Q16" s="7">
        <f>IF(OR($B16="",'Peta CPL'!$A$19=""),"",IFERROR(SUM(IF('Bobot CPMK'!$B$4='Peta CPL'!$A$19,N(D16)*'Bobot CPMK'!$P$4,0),IF('Bobot CPMK'!$B$5='Peta CPL'!$A$19,N(E16)*'Bobot CPMK'!$P$5,0),IF('Bobot CPMK'!$B$6='Peta CPL'!$A$19,N(F16)*'Bobot CPMK'!$P$6,0),IF('Bobot CPMK'!$B$7='Peta CPL'!$A$19,N(G16)*'Bobot CPMK'!$P$7,0),IF('Bobot CPMK'!$B$8='Peta CPL'!$A$19,N(H16)*'Bobot CPMK'!$P$8,0),IF('Bobot CPMK'!$B$9='Peta CPL'!$A$19,N(I16)*'Bobot CPMK'!$P$9,0),IF('Bobot CPMK'!$B$10='Peta CPL'!$A$19,N(J16)*'Bobot CPMK'!$P$10,0),IF('Bobot CPMK'!$B$11='Peta CPL'!$A$19,N(K16)*'Bobot CPMK'!$P$11,0))/SUM(IF('Bobot CPMK'!$B$4='Peta CPL'!$A$19,'Bobot CPMK'!$P$4,0),IF('Bobot CPMK'!$B$5='Peta CPL'!$A$19,'Bobot CPMK'!$P$5,0),IF('Bobot CPMK'!$B$6='Peta CPL'!$A$19,'Bobot CPMK'!$P$6,0),IF('Bobot CPMK'!$B$7='Peta CPL'!$A$19,'Bobot CPMK'!$P$7,0),IF('Bobot CPMK'!$B$8='Peta CPL'!$A$19,'Bobot CPMK'!$P$8,0),IF('Bobot CPMK'!$B$9='Peta CPL'!$A$19,'Bobot CPMK'!$P$9,0),IF('Bobot CPMK'!$B$10='Peta CPL'!$A$19,'Bobot CPMK'!$P$10,0),IF('Bobot CPMK'!$B$11='Peta CPL'!$A$19,'Bobot CPMK'!$P$11,0)),""))</f>
        <v/>
      </c>
      <c r="R16" s="7">
        <f>IF(OR($B16="",'Peta CPL'!$A$20=""),"",IFERROR(SUM(IF('Bobot CPMK'!$B$4='Peta CPL'!$A$20,N(D16)*'Bobot CPMK'!$P$4,0),IF('Bobot CPMK'!$B$5='Peta CPL'!$A$20,N(E16)*'Bobot CPMK'!$P$5,0),IF('Bobot CPMK'!$B$6='Peta CPL'!$A$20,N(F16)*'Bobot CPMK'!$P$6,0),IF('Bobot CPMK'!$B$7='Peta CPL'!$A$20,N(G16)*'Bobot CPMK'!$P$7,0),IF('Bobot CPMK'!$B$8='Peta CPL'!$A$20,N(H16)*'Bobot CPMK'!$P$8,0),IF('Bobot CPMK'!$B$9='Peta CPL'!$A$20,N(I16)*'Bobot CPMK'!$P$9,0),IF('Bobot CPMK'!$B$10='Peta CPL'!$A$20,N(J16)*'Bobot CPMK'!$P$10,0),IF('Bobot CPMK'!$B$11='Peta CPL'!$A$20,N(K16)*'Bobot CPMK'!$P$11,0))/SUM(IF('Bobot CPMK'!$B$4='Peta CPL'!$A$20,'Bobot CPMK'!$P$4,0),IF('Bobot CPMK'!$B$5='Peta CPL'!$A$20,'Bobot CPMK'!$P$5,0),IF('Bobot CPMK'!$B$6='Peta CPL'!$A$20,'Bobot CPMK'!$P$6,0),IF('Bobot CPMK'!$B$7='Peta CPL'!$A$20,'Bobot CPMK'!$P$7,0),IF('Bobot CPMK'!$B$8='Peta CPL'!$A$20,'Bobot CPMK'!$P$8,0),IF('Bobot CPMK'!$B$9='Peta CPL'!$A$20,'Bobot CPMK'!$P$9,0),IF('Bobot CPMK'!$B$10='Peta CPL'!$A$20,'Bobot CPMK'!$P$10,0),IF('Bobot CPMK'!$B$11='Peta CPL'!$A$20,'Bobot CPMK'!$P$11,0)),""))</f>
        <v/>
      </c>
      <c r="S16" s="7">
        <f>IF(OR($B16="",'Peta CPL'!$A$21=""),"",IFERROR(SUM(IF('Bobot CPMK'!$B$4='Peta CPL'!$A$21,N(D16)*'Bobot CPMK'!$P$4,0),IF('Bobot CPMK'!$B$5='Peta CPL'!$A$21,N(E16)*'Bobot CPMK'!$P$5,0),IF('Bobot CPMK'!$B$6='Peta CPL'!$A$21,N(F16)*'Bobot CPMK'!$P$6,0),IF('Bobot CPMK'!$B$7='Peta CPL'!$A$21,N(G16)*'Bobot CPMK'!$P$7,0),IF('Bobot CPMK'!$B$8='Peta CPL'!$A$21,N(H16)*'Bobot CPMK'!$P$8,0),IF('Bobot CPMK'!$B$9='Peta CPL'!$A$21,N(I16)*'Bobot CPMK'!$P$9,0),IF('Bobot CPMK'!$B$10='Peta CPL'!$A$21,N(J16)*'Bobot CPMK'!$P$10,0),IF('Bobot CPMK'!$B$11='Peta CPL'!$A$21,N(K16)*'Bobot CPMK'!$P$11,0))/SUM(IF('Bobot CPMK'!$B$4='Peta CPL'!$A$21,'Bobot CPMK'!$P$4,0),IF('Bobot CPMK'!$B$5='Peta CPL'!$A$21,'Bobot CPMK'!$P$5,0),IF('Bobot CPMK'!$B$6='Peta CPL'!$A$21,'Bobot CPMK'!$P$6,0),IF('Bobot CPMK'!$B$7='Peta CPL'!$A$21,'Bobot CPMK'!$P$7,0),IF('Bobot CPMK'!$B$8='Peta CPL'!$A$21,'Bobot CPMK'!$P$8,0),IF('Bobot CPMK'!$B$9='Peta CPL'!$A$21,'Bobot CPMK'!$P$9,0),IF('Bobot CPMK'!$B$10='Peta CPL'!$A$21,'Bobot CPMK'!$P$10,0),IF('Bobot CPMK'!$B$11='Peta CPL'!$A$21,'Bobot CPMK'!$P$11,0)),""))</f>
        <v/>
      </c>
      <c r="T16" s="7">
        <f>IF(OR($B16="",'Peta CPL'!$A$5=""),"",IFERROR((N(L16)*N('Peta CPL'!$C$14)*N('Peta CPL'!$D$14)+N(M16)*N('Peta CPL'!$C$15)*N('Peta CPL'!$D$15)+N(N16)*N('Peta CPL'!$C$16)*N('Peta CPL'!$D$16)+N(O16)*N('Peta CPL'!$C$17)*N('Peta CPL'!$D$17)+N(P16)*N('Peta CPL'!$C$18)*N('Peta CPL'!$D$18)+N(Q16)*N('Peta CPL'!$C$19)*N('Peta CPL'!$D$19)+N(R16)*N('Peta CPL'!$C$20)*N('Peta CPL'!$D$20)+N(S16)*N('Peta CPL'!$C$21)*N('Peta CPL'!$D$21))/(N('Peta CPL'!$C$14)*N('Peta CPL'!$D$14)+N('Peta CPL'!$C$15)*N('Peta CPL'!$D$15)+N('Peta CPL'!$C$16)*N('Peta CPL'!$D$16)+N('Peta CPL'!$C$17)*N('Peta CPL'!$D$17)+N('Peta CPL'!$C$18)*N('Peta CPL'!$D$18)+N('Peta CPL'!$C$19)*N('Peta CPL'!$D$19)+N('Peta CPL'!$C$20)*N('Peta CPL'!$D$20)+N('Peta CPL'!$C$21)*N('Peta CPL'!$D$21)),""))</f>
        <v/>
      </c>
      <c r="U16" s="7">
        <f>IF(OR($B16="",'Peta CPL'!$A$6=""),"",IFERROR((N(L16)*N('Peta CPL'!$C$14)*N('Peta CPL'!$E$14)+N(M16)*N('Peta CPL'!$C$15)*N('Peta CPL'!$E$15)+N(N16)*N('Peta CPL'!$C$16)*N('Peta CPL'!$E$16)+N(O16)*N('Peta CPL'!$C$17)*N('Peta CPL'!$E$17)+N(P16)*N('Peta CPL'!$C$18)*N('Peta CPL'!$E$18)+N(Q16)*N('Peta CPL'!$C$19)*N('Peta CPL'!$E$19)+N(R16)*N('Peta CPL'!$C$20)*N('Peta CPL'!$E$20)+N(S16)*N('Peta CPL'!$C$21)*N('Peta CPL'!$E$21))/(N('Peta CPL'!$C$14)*N('Peta CPL'!$E$14)+N('Peta CPL'!$C$15)*N('Peta CPL'!$E$15)+N('Peta CPL'!$C$16)*N('Peta CPL'!$E$16)+N('Peta CPL'!$C$17)*N('Peta CPL'!$E$17)+N('Peta CPL'!$C$18)*N('Peta CPL'!$E$18)+N('Peta CPL'!$C$19)*N('Peta CPL'!$E$19)+N('Peta CPL'!$C$20)*N('Peta CPL'!$E$20)+N('Peta CPL'!$C$21)*N('Peta CPL'!$E$21)),""))</f>
        <v/>
      </c>
      <c r="V16" s="7">
        <f>IF(OR($B16="",'Peta CPL'!$A$7=""),"",IFERROR((N(L16)*N('Peta CPL'!$C$14)*N('Peta CPL'!$F$14)+N(M16)*N('Peta CPL'!$C$15)*N('Peta CPL'!$F$15)+N(N16)*N('Peta CPL'!$C$16)*N('Peta CPL'!$F$16)+N(O16)*N('Peta CPL'!$C$17)*N('Peta CPL'!$F$17)+N(P16)*N('Peta CPL'!$C$18)*N('Peta CPL'!$F$18)+N(Q16)*N('Peta CPL'!$C$19)*N('Peta CPL'!$F$19)+N(R16)*N('Peta CPL'!$C$20)*N('Peta CPL'!$F$20)+N(S16)*N('Peta CPL'!$C$21)*N('Peta CPL'!$F$21))/(N('Peta CPL'!$C$14)*N('Peta CPL'!$F$14)+N('Peta CPL'!$C$15)*N('Peta CPL'!$F$15)+N('Peta CPL'!$C$16)*N('Peta CPL'!$F$16)+N('Peta CPL'!$C$17)*N('Peta CPL'!$F$17)+N('Peta CPL'!$C$18)*N('Peta CPL'!$F$18)+N('Peta CPL'!$C$19)*N('Peta CPL'!$F$19)+N('Peta CPL'!$C$20)*N('Peta CPL'!$F$20)+N('Peta CPL'!$C$21)*N('Peta CPL'!$F$21)),""))</f>
        <v/>
      </c>
      <c r="W16" s="7">
        <f>IF(OR($B16="",'Peta CPL'!$A$8=""),"",IFERROR((N(L16)*N('Peta CPL'!$C$14)*N('Peta CPL'!$G$14)+N(M16)*N('Peta CPL'!$C$15)*N('Peta CPL'!$G$15)+N(N16)*N('Peta CPL'!$C$16)*N('Peta CPL'!$G$16)+N(O16)*N('Peta CPL'!$C$17)*N('Peta CPL'!$G$17)+N(P16)*N('Peta CPL'!$C$18)*N('Peta CPL'!$G$18)+N(Q16)*N('Peta CPL'!$C$19)*N('Peta CPL'!$G$19)+N(R16)*N('Peta CPL'!$C$20)*N('Peta CPL'!$G$20)+N(S16)*N('Peta CPL'!$C$21)*N('Peta CPL'!$G$21))/(N('Peta CPL'!$C$14)*N('Peta CPL'!$G$14)+N('Peta CPL'!$C$15)*N('Peta CPL'!$G$15)+N('Peta CPL'!$C$16)*N('Peta CPL'!$G$16)+N('Peta CPL'!$C$17)*N('Peta CPL'!$G$17)+N('Peta CPL'!$C$18)*N('Peta CPL'!$G$18)+N('Peta CPL'!$C$19)*N('Peta CPL'!$G$19)+N('Peta CPL'!$C$20)*N('Peta CPL'!$G$20)+N('Peta CPL'!$C$21)*N('Peta CPL'!$G$21)),""))</f>
        <v/>
      </c>
      <c r="X16" s="7">
        <f>IF(OR($B16="",'Peta CPL'!$A$9=""),"",IFERROR((N(L16)*N('Peta CPL'!$C$14)*N('Peta CPL'!$H$14)+N(M16)*N('Peta CPL'!$C$15)*N('Peta CPL'!$H$15)+N(N16)*N('Peta CPL'!$C$16)*N('Peta CPL'!$H$16)+N(O16)*N('Peta CPL'!$C$17)*N('Peta CPL'!$H$17)+N(P16)*N('Peta CPL'!$C$18)*N('Peta CPL'!$H$18)+N(Q16)*N('Peta CPL'!$C$19)*N('Peta CPL'!$H$19)+N(R16)*N('Peta CPL'!$C$20)*N('Peta CPL'!$H$20)+N(S16)*N('Peta CPL'!$C$21)*N('Peta CPL'!$H$21))/(N('Peta CPL'!$C$14)*N('Peta CPL'!$H$14)+N('Peta CPL'!$C$15)*N('Peta CPL'!$H$15)+N('Peta CPL'!$C$16)*N('Peta CPL'!$H$16)+N('Peta CPL'!$C$17)*N('Peta CPL'!$H$17)+N('Peta CPL'!$C$18)*N('Peta CPL'!$H$18)+N('Peta CPL'!$C$19)*N('Peta CPL'!$H$19)+N('Peta CPL'!$C$20)*N('Peta CPL'!$H$20)+N('Peta CPL'!$C$21)*N('Peta CPL'!$H$21)),""))</f>
        <v/>
      </c>
      <c r="Y16" s="7">
        <f>IF(OR($B16="",'Peta CPL'!$A$10=""),"",IFERROR((N(L16)*N('Peta CPL'!$C$14)*N('Peta CPL'!$I$14)+N(M16)*N('Peta CPL'!$C$15)*N('Peta CPL'!$I$15)+N(N16)*N('Peta CPL'!$C$16)*N('Peta CPL'!$I$16)+N(O16)*N('Peta CPL'!$C$17)*N('Peta CPL'!$I$17)+N(P16)*N('Peta CPL'!$C$18)*N('Peta CPL'!$I$18)+N(Q16)*N('Peta CPL'!$C$19)*N('Peta CPL'!$I$19)+N(R16)*N('Peta CPL'!$C$20)*N('Peta CPL'!$I$20)+N(S16)*N('Peta CPL'!$C$21)*N('Peta CPL'!$I$21))/(N('Peta CPL'!$C$14)*N('Peta CPL'!$I$14)+N('Peta CPL'!$C$15)*N('Peta CPL'!$I$15)+N('Peta CPL'!$C$16)*N('Peta CPL'!$I$16)+N('Peta CPL'!$C$17)*N('Peta CPL'!$I$17)+N('Peta CPL'!$C$18)*N('Peta CPL'!$I$18)+N('Peta CPL'!$C$19)*N('Peta CPL'!$I$19)+N('Peta CPL'!$C$20)*N('Peta CPL'!$I$20)+N('Peta CPL'!$C$21)*N('Peta CPL'!$I$21)),""))</f>
        <v/>
      </c>
      <c r="Z16" s="7">
        <f>IF($B16="","",IFERROR((N(L16)*N('Peta CPL'!$C$14)+N(M16)*N('Peta CPL'!$C$15)+N(N16)*N('Peta CPL'!$C$16)+N(O16)*N('Peta CPL'!$C$17)+N(P16)*N('Peta CPL'!$C$18)+N(Q16)*N('Peta CPL'!$C$19)+N(R16)*N('Peta CPL'!$C$20)+N(S16)*N('Peta CPL'!$C$21))/100,""))</f>
        <v/>
      </c>
    </row>
    <row r="17">
      <c r="A17" s="7">
        <f>'Input Nilai'!A17</f>
        <v/>
      </c>
      <c r="B17" s="7">
        <f>'Input Nilai'!B17</f>
        <v/>
      </c>
      <c r="C17" s="15">
        <f>'Input Nilai'!C17</f>
        <v/>
      </c>
      <c r="D17" s="7">
        <f>IF(OR('Input Nilai'!$B17="",'Bobot CPMK'!$O$4=0),"",(SUMPRODUCT('Input Nilai'!D17:L17,'Bobot CPMK'!$E$4:$M$4)+'Input Nilai'!$BX17*'Bobot CPMK'!$N$4)/'Bobot CPMK'!$O$4)</f>
        <v/>
      </c>
      <c r="E17" s="7">
        <f>IF(OR('Input Nilai'!$B17="",'Bobot CPMK'!$O$5=0),"",(SUMPRODUCT('Input Nilai'!M17:U17,'Bobot CPMK'!$E$5:$M$5)+'Input Nilai'!$BX17*'Bobot CPMK'!$N$5)/'Bobot CPMK'!$O$5)</f>
        <v/>
      </c>
      <c r="F17" s="7">
        <f>IF(OR('Input Nilai'!$B17="",'Bobot CPMK'!$O$6=0),"",(SUMPRODUCT('Input Nilai'!V17:AD17,'Bobot CPMK'!$E$6:$M$6)+'Input Nilai'!$BX17*'Bobot CPMK'!$N$6)/'Bobot CPMK'!$O$6)</f>
        <v/>
      </c>
      <c r="G17" s="7">
        <f>IF(OR('Input Nilai'!$B17="",'Bobot CPMK'!$O$7=0),"",(SUMPRODUCT('Input Nilai'!AE17:AM17,'Bobot CPMK'!$E$7:$M$7)+'Input Nilai'!$BX17*'Bobot CPMK'!$N$7)/'Bobot CPMK'!$O$7)</f>
        <v/>
      </c>
      <c r="H17" s="7">
        <f>IF(OR('Input Nilai'!$B17="",'Bobot CPMK'!$O$8=0),"",(SUMPRODUCT('Input Nilai'!AN17:AV17,'Bobot CPMK'!$E$8:$M$8)+'Input Nilai'!$BX17*'Bobot CPMK'!$N$8)/'Bobot CPMK'!$O$8)</f>
        <v/>
      </c>
      <c r="I17" s="7">
        <f>IF(OR('Input Nilai'!$B17="",'Bobot CPMK'!$O$9=0),"",(SUMPRODUCT('Input Nilai'!AW17:BE17,'Bobot CPMK'!$E$9:$M$9)+'Input Nilai'!$BX17*'Bobot CPMK'!$N$9)/'Bobot CPMK'!$O$9)</f>
        <v/>
      </c>
      <c r="J17" s="7">
        <f>IF(OR('Input Nilai'!$B17="",'Bobot CPMK'!$O$10=0),"",(SUMPRODUCT('Input Nilai'!BF17:BN17,'Bobot CPMK'!$E$10:$M$10)+'Input Nilai'!$BX17*'Bobot CPMK'!$N$10)/'Bobot CPMK'!$O$10)</f>
        <v/>
      </c>
      <c r="K17" s="7">
        <f>IF(OR('Input Nilai'!$B17="",'Bobot CPMK'!$O$11=0),"",(SUMPRODUCT('Input Nilai'!BO17:BW17,'Bobot CPMK'!$E$11:$M$11)+'Input Nilai'!$BX17*'Bobot CPMK'!$N$11)/'Bobot CPMK'!$O$11)</f>
        <v/>
      </c>
      <c r="L17" s="7">
        <f>IF(OR($B17="",'Peta CPL'!$A$14=""),"",IFERROR(SUM(IF('Bobot CPMK'!$B$4='Peta CPL'!$A$14,N(D17)*'Bobot CPMK'!$P$4,0),IF('Bobot CPMK'!$B$5='Peta CPL'!$A$14,N(E17)*'Bobot CPMK'!$P$5,0),IF('Bobot CPMK'!$B$6='Peta CPL'!$A$14,N(F17)*'Bobot CPMK'!$P$6,0),IF('Bobot CPMK'!$B$7='Peta CPL'!$A$14,N(G17)*'Bobot CPMK'!$P$7,0),IF('Bobot CPMK'!$B$8='Peta CPL'!$A$14,N(H17)*'Bobot CPMK'!$P$8,0),IF('Bobot CPMK'!$B$9='Peta CPL'!$A$14,N(I17)*'Bobot CPMK'!$P$9,0),IF('Bobot CPMK'!$B$10='Peta CPL'!$A$14,N(J17)*'Bobot CPMK'!$P$10,0),IF('Bobot CPMK'!$B$11='Peta CPL'!$A$14,N(K17)*'Bobot CPMK'!$P$11,0))/SUM(IF('Bobot CPMK'!$B$4='Peta CPL'!$A$14,'Bobot CPMK'!$P$4,0),IF('Bobot CPMK'!$B$5='Peta CPL'!$A$14,'Bobot CPMK'!$P$5,0),IF('Bobot CPMK'!$B$6='Peta CPL'!$A$14,'Bobot CPMK'!$P$6,0),IF('Bobot CPMK'!$B$7='Peta CPL'!$A$14,'Bobot CPMK'!$P$7,0),IF('Bobot CPMK'!$B$8='Peta CPL'!$A$14,'Bobot CPMK'!$P$8,0),IF('Bobot CPMK'!$B$9='Peta CPL'!$A$14,'Bobot CPMK'!$P$9,0),IF('Bobot CPMK'!$B$10='Peta CPL'!$A$14,'Bobot CPMK'!$P$10,0),IF('Bobot CPMK'!$B$11='Peta CPL'!$A$14,'Bobot CPMK'!$P$11,0)),""))</f>
        <v/>
      </c>
      <c r="M17" s="7">
        <f>IF(OR($B17="",'Peta CPL'!$A$15=""),"",IFERROR(SUM(IF('Bobot CPMK'!$B$4='Peta CPL'!$A$15,N(D17)*'Bobot CPMK'!$P$4,0),IF('Bobot CPMK'!$B$5='Peta CPL'!$A$15,N(E17)*'Bobot CPMK'!$P$5,0),IF('Bobot CPMK'!$B$6='Peta CPL'!$A$15,N(F17)*'Bobot CPMK'!$P$6,0),IF('Bobot CPMK'!$B$7='Peta CPL'!$A$15,N(G17)*'Bobot CPMK'!$P$7,0),IF('Bobot CPMK'!$B$8='Peta CPL'!$A$15,N(H17)*'Bobot CPMK'!$P$8,0),IF('Bobot CPMK'!$B$9='Peta CPL'!$A$15,N(I17)*'Bobot CPMK'!$P$9,0),IF('Bobot CPMK'!$B$10='Peta CPL'!$A$15,N(J17)*'Bobot CPMK'!$P$10,0),IF('Bobot CPMK'!$B$11='Peta CPL'!$A$15,N(K17)*'Bobot CPMK'!$P$11,0))/SUM(IF('Bobot CPMK'!$B$4='Peta CPL'!$A$15,'Bobot CPMK'!$P$4,0),IF('Bobot CPMK'!$B$5='Peta CPL'!$A$15,'Bobot CPMK'!$P$5,0),IF('Bobot CPMK'!$B$6='Peta CPL'!$A$15,'Bobot CPMK'!$P$6,0),IF('Bobot CPMK'!$B$7='Peta CPL'!$A$15,'Bobot CPMK'!$P$7,0),IF('Bobot CPMK'!$B$8='Peta CPL'!$A$15,'Bobot CPMK'!$P$8,0),IF('Bobot CPMK'!$B$9='Peta CPL'!$A$15,'Bobot CPMK'!$P$9,0),IF('Bobot CPMK'!$B$10='Peta CPL'!$A$15,'Bobot CPMK'!$P$10,0),IF('Bobot CPMK'!$B$11='Peta CPL'!$A$15,'Bobot CPMK'!$P$11,0)),""))</f>
        <v/>
      </c>
      <c r="N17" s="7">
        <f>IF(OR($B17="",'Peta CPL'!$A$16=""),"",IFERROR(SUM(IF('Bobot CPMK'!$B$4='Peta CPL'!$A$16,N(D17)*'Bobot CPMK'!$P$4,0),IF('Bobot CPMK'!$B$5='Peta CPL'!$A$16,N(E17)*'Bobot CPMK'!$P$5,0),IF('Bobot CPMK'!$B$6='Peta CPL'!$A$16,N(F17)*'Bobot CPMK'!$P$6,0),IF('Bobot CPMK'!$B$7='Peta CPL'!$A$16,N(G17)*'Bobot CPMK'!$P$7,0),IF('Bobot CPMK'!$B$8='Peta CPL'!$A$16,N(H17)*'Bobot CPMK'!$P$8,0),IF('Bobot CPMK'!$B$9='Peta CPL'!$A$16,N(I17)*'Bobot CPMK'!$P$9,0),IF('Bobot CPMK'!$B$10='Peta CPL'!$A$16,N(J17)*'Bobot CPMK'!$P$10,0),IF('Bobot CPMK'!$B$11='Peta CPL'!$A$16,N(K17)*'Bobot CPMK'!$P$11,0))/SUM(IF('Bobot CPMK'!$B$4='Peta CPL'!$A$16,'Bobot CPMK'!$P$4,0),IF('Bobot CPMK'!$B$5='Peta CPL'!$A$16,'Bobot CPMK'!$P$5,0),IF('Bobot CPMK'!$B$6='Peta CPL'!$A$16,'Bobot CPMK'!$P$6,0),IF('Bobot CPMK'!$B$7='Peta CPL'!$A$16,'Bobot CPMK'!$P$7,0),IF('Bobot CPMK'!$B$8='Peta CPL'!$A$16,'Bobot CPMK'!$P$8,0),IF('Bobot CPMK'!$B$9='Peta CPL'!$A$16,'Bobot CPMK'!$P$9,0),IF('Bobot CPMK'!$B$10='Peta CPL'!$A$16,'Bobot CPMK'!$P$10,0),IF('Bobot CPMK'!$B$11='Peta CPL'!$A$16,'Bobot CPMK'!$P$11,0)),""))</f>
        <v/>
      </c>
      <c r="O17" s="7">
        <f>IF(OR($B17="",'Peta CPL'!$A$17=""),"",IFERROR(SUM(IF('Bobot CPMK'!$B$4='Peta CPL'!$A$17,N(D17)*'Bobot CPMK'!$P$4,0),IF('Bobot CPMK'!$B$5='Peta CPL'!$A$17,N(E17)*'Bobot CPMK'!$P$5,0),IF('Bobot CPMK'!$B$6='Peta CPL'!$A$17,N(F17)*'Bobot CPMK'!$P$6,0),IF('Bobot CPMK'!$B$7='Peta CPL'!$A$17,N(G17)*'Bobot CPMK'!$P$7,0),IF('Bobot CPMK'!$B$8='Peta CPL'!$A$17,N(H17)*'Bobot CPMK'!$P$8,0),IF('Bobot CPMK'!$B$9='Peta CPL'!$A$17,N(I17)*'Bobot CPMK'!$P$9,0),IF('Bobot CPMK'!$B$10='Peta CPL'!$A$17,N(J17)*'Bobot CPMK'!$P$10,0),IF('Bobot CPMK'!$B$11='Peta CPL'!$A$17,N(K17)*'Bobot CPMK'!$P$11,0))/SUM(IF('Bobot CPMK'!$B$4='Peta CPL'!$A$17,'Bobot CPMK'!$P$4,0),IF('Bobot CPMK'!$B$5='Peta CPL'!$A$17,'Bobot CPMK'!$P$5,0),IF('Bobot CPMK'!$B$6='Peta CPL'!$A$17,'Bobot CPMK'!$P$6,0),IF('Bobot CPMK'!$B$7='Peta CPL'!$A$17,'Bobot CPMK'!$P$7,0),IF('Bobot CPMK'!$B$8='Peta CPL'!$A$17,'Bobot CPMK'!$P$8,0),IF('Bobot CPMK'!$B$9='Peta CPL'!$A$17,'Bobot CPMK'!$P$9,0),IF('Bobot CPMK'!$B$10='Peta CPL'!$A$17,'Bobot CPMK'!$P$10,0),IF('Bobot CPMK'!$B$11='Peta CPL'!$A$17,'Bobot CPMK'!$P$11,0)),""))</f>
        <v/>
      </c>
      <c r="P17" s="7">
        <f>IF(OR($B17="",'Peta CPL'!$A$18=""),"",IFERROR(SUM(IF('Bobot CPMK'!$B$4='Peta CPL'!$A$18,N(D17)*'Bobot CPMK'!$P$4,0),IF('Bobot CPMK'!$B$5='Peta CPL'!$A$18,N(E17)*'Bobot CPMK'!$P$5,0),IF('Bobot CPMK'!$B$6='Peta CPL'!$A$18,N(F17)*'Bobot CPMK'!$P$6,0),IF('Bobot CPMK'!$B$7='Peta CPL'!$A$18,N(G17)*'Bobot CPMK'!$P$7,0),IF('Bobot CPMK'!$B$8='Peta CPL'!$A$18,N(H17)*'Bobot CPMK'!$P$8,0),IF('Bobot CPMK'!$B$9='Peta CPL'!$A$18,N(I17)*'Bobot CPMK'!$P$9,0),IF('Bobot CPMK'!$B$10='Peta CPL'!$A$18,N(J17)*'Bobot CPMK'!$P$10,0),IF('Bobot CPMK'!$B$11='Peta CPL'!$A$18,N(K17)*'Bobot CPMK'!$P$11,0))/SUM(IF('Bobot CPMK'!$B$4='Peta CPL'!$A$18,'Bobot CPMK'!$P$4,0),IF('Bobot CPMK'!$B$5='Peta CPL'!$A$18,'Bobot CPMK'!$P$5,0),IF('Bobot CPMK'!$B$6='Peta CPL'!$A$18,'Bobot CPMK'!$P$6,0),IF('Bobot CPMK'!$B$7='Peta CPL'!$A$18,'Bobot CPMK'!$P$7,0),IF('Bobot CPMK'!$B$8='Peta CPL'!$A$18,'Bobot CPMK'!$P$8,0),IF('Bobot CPMK'!$B$9='Peta CPL'!$A$18,'Bobot CPMK'!$P$9,0),IF('Bobot CPMK'!$B$10='Peta CPL'!$A$18,'Bobot CPMK'!$P$10,0),IF('Bobot CPMK'!$B$11='Peta CPL'!$A$18,'Bobot CPMK'!$P$11,0)),""))</f>
        <v/>
      </c>
      <c r="Q17" s="7">
        <f>IF(OR($B17="",'Peta CPL'!$A$19=""),"",IFERROR(SUM(IF('Bobot CPMK'!$B$4='Peta CPL'!$A$19,N(D17)*'Bobot CPMK'!$P$4,0),IF('Bobot CPMK'!$B$5='Peta CPL'!$A$19,N(E17)*'Bobot CPMK'!$P$5,0),IF('Bobot CPMK'!$B$6='Peta CPL'!$A$19,N(F17)*'Bobot CPMK'!$P$6,0),IF('Bobot CPMK'!$B$7='Peta CPL'!$A$19,N(G17)*'Bobot CPMK'!$P$7,0),IF('Bobot CPMK'!$B$8='Peta CPL'!$A$19,N(H17)*'Bobot CPMK'!$P$8,0),IF('Bobot CPMK'!$B$9='Peta CPL'!$A$19,N(I17)*'Bobot CPMK'!$P$9,0),IF('Bobot CPMK'!$B$10='Peta CPL'!$A$19,N(J17)*'Bobot CPMK'!$P$10,0),IF('Bobot CPMK'!$B$11='Peta CPL'!$A$19,N(K17)*'Bobot CPMK'!$P$11,0))/SUM(IF('Bobot CPMK'!$B$4='Peta CPL'!$A$19,'Bobot CPMK'!$P$4,0),IF('Bobot CPMK'!$B$5='Peta CPL'!$A$19,'Bobot CPMK'!$P$5,0),IF('Bobot CPMK'!$B$6='Peta CPL'!$A$19,'Bobot CPMK'!$P$6,0),IF('Bobot CPMK'!$B$7='Peta CPL'!$A$19,'Bobot CPMK'!$P$7,0),IF('Bobot CPMK'!$B$8='Peta CPL'!$A$19,'Bobot CPMK'!$P$8,0),IF('Bobot CPMK'!$B$9='Peta CPL'!$A$19,'Bobot CPMK'!$P$9,0),IF('Bobot CPMK'!$B$10='Peta CPL'!$A$19,'Bobot CPMK'!$P$10,0),IF('Bobot CPMK'!$B$11='Peta CPL'!$A$19,'Bobot CPMK'!$P$11,0)),""))</f>
        <v/>
      </c>
      <c r="R17" s="7">
        <f>IF(OR($B17="",'Peta CPL'!$A$20=""),"",IFERROR(SUM(IF('Bobot CPMK'!$B$4='Peta CPL'!$A$20,N(D17)*'Bobot CPMK'!$P$4,0),IF('Bobot CPMK'!$B$5='Peta CPL'!$A$20,N(E17)*'Bobot CPMK'!$P$5,0),IF('Bobot CPMK'!$B$6='Peta CPL'!$A$20,N(F17)*'Bobot CPMK'!$P$6,0),IF('Bobot CPMK'!$B$7='Peta CPL'!$A$20,N(G17)*'Bobot CPMK'!$P$7,0),IF('Bobot CPMK'!$B$8='Peta CPL'!$A$20,N(H17)*'Bobot CPMK'!$P$8,0),IF('Bobot CPMK'!$B$9='Peta CPL'!$A$20,N(I17)*'Bobot CPMK'!$P$9,0),IF('Bobot CPMK'!$B$10='Peta CPL'!$A$20,N(J17)*'Bobot CPMK'!$P$10,0),IF('Bobot CPMK'!$B$11='Peta CPL'!$A$20,N(K17)*'Bobot CPMK'!$P$11,0))/SUM(IF('Bobot CPMK'!$B$4='Peta CPL'!$A$20,'Bobot CPMK'!$P$4,0),IF('Bobot CPMK'!$B$5='Peta CPL'!$A$20,'Bobot CPMK'!$P$5,0),IF('Bobot CPMK'!$B$6='Peta CPL'!$A$20,'Bobot CPMK'!$P$6,0),IF('Bobot CPMK'!$B$7='Peta CPL'!$A$20,'Bobot CPMK'!$P$7,0),IF('Bobot CPMK'!$B$8='Peta CPL'!$A$20,'Bobot CPMK'!$P$8,0),IF('Bobot CPMK'!$B$9='Peta CPL'!$A$20,'Bobot CPMK'!$P$9,0),IF('Bobot CPMK'!$B$10='Peta CPL'!$A$20,'Bobot CPMK'!$P$10,0),IF('Bobot CPMK'!$B$11='Peta CPL'!$A$20,'Bobot CPMK'!$P$11,0)),""))</f>
        <v/>
      </c>
      <c r="S17" s="7">
        <f>IF(OR($B17="",'Peta CPL'!$A$21=""),"",IFERROR(SUM(IF('Bobot CPMK'!$B$4='Peta CPL'!$A$21,N(D17)*'Bobot CPMK'!$P$4,0),IF('Bobot CPMK'!$B$5='Peta CPL'!$A$21,N(E17)*'Bobot CPMK'!$P$5,0),IF('Bobot CPMK'!$B$6='Peta CPL'!$A$21,N(F17)*'Bobot CPMK'!$P$6,0),IF('Bobot CPMK'!$B$7='Peta CPL'!$A$21,N(G17)*'Bobot CPMK'!$P$7,0),IF('Bobot CPMK'!$B$8='Peta CPL'!$A$21,N(H17)*'Bobot CPMK'!$P$8,0),IF('Bobot CPMK'!$B$9='Peta CPL'!$A$21,N(I17)*'Bobot CPMK'!$P$9,0),IF('Bobot CPMK'!$B$10='Peta CPL'!$A$21,N(J17)*'Bobot CPMK'!$P$10,0),IF('Bobot CPMK'!$B$11='Peta CPL'!$A$21,N(K17)*'Bobot CPMK'!$P$11,0))/SUM(IF('Bobot CPMK'!$B$4='Peta CPL'!$A$21,'Bobot CPMK'!$P$4,0),IF('Bobot CPMK'!$B$5='Peta CPL'!$A$21,'Bobot CPMK'!$P$5,0),IF('Bobot CPMK'!$B$6='Peta CPL'!$A$21,'Bobot CPMK'!$P$6,0),IF('Bobot CPMK'!$B$7='Peta CPL'!$A$21,'Bobot CPMK'!$P$7,0),IF('Bobot CPMK'!$B$8='Peta CPL'!$A$21,'Bobot CPMK'!$P$8,0),IF('Bobot CPMK'!$B$9='Peta CPL'!$A$21,'Bobot CPMK'!$P$9,0),IF('Bobot CPMK'!$B$10='Peta CPL'!$A$21,'Bobot CPMK'!$P$10,0),IF('Bobot CPMK'!$B$11='Peta CPL'!$A$21,'Bobot CPMK'!$P$11,0)),""))</f>
        <v/>
      </c>
      <c r="T17" s="7">
        <f>IF(OR($B17="",'Peta CPL'!$A$5=""),"",IFERROR((N(L17)*N('Peta CPL'!$C$14)*N('Peta CPL'!$D$14)+N(M17)*N('Peta CPL'!$C$15)*N('Peta CPL'!$D$15)+N(N17)*N('Peta CPL'!$C$16)*N('Peta CPL'!$D$16)+N(O17)*N('Peta CPL'!$C$17)*N('Peta CPL'!$D$17)+N(P17)*N('Peta CPL'!$C$18)*N('Peta CPL'!$D$18)+N(Q17)*N('Peta CPL'!$C$19)*N('Peta CPL'!$D$19)+N(R17)*N('Peta CPL'!$C$20)*N('Peta CPL'!$D$20)+N(S17)*N('Peta CPL'!$C$21)*N('Peta CPL'!$D$21))/(N('Peta CPL'!$C$14)*N('Peta CPL'!$D$14)+N('Peta CPL'!$C$15)*N('Peta CPL'!$D$15)+N('Peta CPL'!$C$16)*N('Peta CPL'!$D$16)+N('Peta CPL'!$C$17)*N('Peta CPL'!$D$17)+N('Peta CPL'!$C$18)*N('Peta CPL'!$D$18)+N('Peta CPL'!$C$19)*N('Peta CPL'!$D$19)+N('Peta CPL'!$C$20)*N('Peta CPL'!$D$20)+N('Peta CPL'!$C$21)*N('Peta CPL'!$D$21)),""))</f>
        <v/>
      </c>
      <c r="U17" s="7">
        <f>IF(OR($B17="",'Peta CPL'!$A$6=""),"",IFERROR((N(L17)*N('Peta CPL'!$C$14)*N('Peta CPL'!$E$14)+N(M17)*N('Peta CPL'!$C$15)*N('Peta CPL'!$E$15)+N(N17)*N('Peta CPL'!$C$16)*N('Peta CPL'!$E$16)+N(O17)*N('Peta CPL'!$C$17)*N('Peta CPL'!$E$17)+N(P17)*N('Peta CPL'!$C$18)*N('Peta CPL'!$E$18)+N(Q17)*N('Peta CPL'!$C$19)*N('Peta CPL'!$E$19)+N(R17)*N('Peta CPL'!$C$20)*N('Peta CPL'!$E$20)+N(S17)*N('Peta CPL'!$C$21)*N('Peta CPL'!$E$21))/(N('Peta CPL'!$C$14)*N('Peta CPL'!$E$14)+N('Peta CPL'!$C$15)*N('Peta CPL'!$E$15)+N('Peta CPL'!$C$16)*N('Peta CPL'!$E$16)+N('Peta CPL'!$C$17)*N('Peta CPL'!$E$17)+N('Peta CPL'!$C$18)*N('Peta CPL'!$E$18)+N('Peta CPL'!$C$19)*N('Peta CPL'!$E$19)+N('Peta CPL'!$C$20)*N('Peta CPL'!$E$20)+N('Peta CPL'!$C$21)*N('Peta CPL'!$E$21)),""))</f>
        <v/>
      </c>
      <c r="V17" s="7">
        <f>IF(OR($B17="",'Peta CPL'!$A$7=""),"",IFERROR((N(L17)*N('Peta CPL'!$C$14)*N('Peta CPL'!$F$14)+N(M17)*N('Peta CPL'!$C$15)*N('Peta CPL'!$F$15)+N(N17)*N('Peta CPL'!$C$16)*N('Peta CPL'!$F$16)+N(O17)*N('Peta CPL'!$C$17)*N('Peta CPL'!$F$17)+N(P17)*N('Peta CPL'!$C$18)*N('Peta CPL'!$F$18)+N(Q17)*N('Peta CPL'!$C$19)*N('Peta CPL'!$F$19)+N(R17)*N('Peta CPL'!$C$20)*N('Peta CPL'!$F$20)+N(S17)*N('Peta CPL'!$C$21)*N('Peta CPL'!$F$21))/(N('Peta CPL'!$C$14)*N('Peta CPL'!$F$14)+N('Peta CPL'!$C$15)*N('Peta CPL'!$F$15)+N('Peta CPL'!$C$16)*N('Peta CPL'!$F$16)+N('Peta CPL'!$C$17)*N('Peta CPL'!$F$17)+N('Peta CPL'!$C$18)*N('Peta CPL'!$F$18)+N('Peta CPL'!$C$19)*N('Peta CPL'!$F$19)+N('Peta CPL'!$C$20)*N('Peta CPL'!$F$20)+N('Peta CPL'!$C$21)*N('Peta CPL'!$F$21)),""))</f>
        <v/>
      </c>
      <c r="W17" s="7">
        <f>IF(OR($B17="",'Peta CPL'!$A$8=""),"",IFERROR((N(L17)*N('Peta CPL'!$C$14)*N('Peta CPL'!$G$14)+N(M17)*N('Peta CPL'!$C$15)*N('Peta CPL'!$G$15)+N(N17)*N('Peta CPL'!$C$16)*N('Peta CPL'!$G$16)+N(O17)*N('Peta CPL'!$C$17)*N('Peta CPL'!$G$17)+N(P17)*N('Peta CPL'!$C$18)*N('Peta CPL'!$G$18)+N(Q17)*N('Peta CPL'!$C$19)*N('Peta CPL'!$G$19)+N(R17)*N('Peta CPL'!$C$20)*N('Peta CPL'!$G$20)+N(S17)*N('Peta CPL'!$C$21)*N('Peta CPL'!$G$21))/(N('Peta CPL'!$C$14)*N('Peta CPL'!$G$14)+N('Peta CPL'!$C$15)*N('Peta CPL'!$G$15)+N('Peta CPL'!$C$16)*N('Peta CPL'!$G$16)+N('Peta CPL'!$C$17)*N('Peta CPL'!$G$17)+N('Peta CPL'!$C$18)*N('Peta CPL'!$G$18)+N('Peta CPL'!$C$19)*N('Peta CPL'!$G$19)+N('Peta CPL'!$C$20)*N('Peta CPL'!$G$20)+N('Peta CPL'!$C$21)*N('Peta CPL'!$G$21)),""))</f>
        <v/>
      </c>
      <c r="X17" s="7">
        <f>IF(OR($B17="",'Peta CPL'!$A$9=""),"",IFERROR((N(L17)*N('Peta CPL'!$C$14)*N('Peta CPL'!$H$14)+N(M17)*N('Peta CPL'!$C$15)*N('Peta CPL'!$H$15)+N(N17)*N('Peta CPL'!$C$16)*N('Peta CPL'!$H$16)+N(O17)*N('Peta CPL'!$C$17)*N('Peta CPL'!$H$17)+N(P17)*N('Peta CPL'!$C$18)*N('Peta CPL'!$H$18)+N(Q17)*N('Peta CPL'!$C$19)*N('Peta CPL'!$H$19)+N(R17)*N('Peta CPL'!$C$20)*N('Peta CPL'!$H$20)+N(S17)*N('Peta CPL'!$C$21)*N('Peta CPL'!$H$21))/(N('Peta CPL'!$C$14)*N('Peta CPL'!$H$14)+N('Peta CPL'!$C$15)*N('Peta CPL'!$H$15)+N('Peta CPL'!$C$16)*N('Peta CPL'!$H$16)+N('Peta CPL'!$C$17)*N('Peta CPL'!$H$17)+N('Peta CPL'!$C$18)*N('Peta CPL'!$H$18)+N('Peta CPL'!$C$19)*N('Peta CPL'!$H$19)+N('Peta CPL'!$C$20)*N('Peta CPL'!$H$20)+N('Peta CPL'!$C$21)*N('Peta CPL'!$H$21)),""))</f>
        <v/>
      </c>
      <c r="Y17" s="7">
        <f>IF(OR($B17="",'Peta CPL'!$A$10=""),"",IFERROR((N(L17)*N('Peta CPL'!$C$14)*N('Peta CPL'!$I$14)+N(M17)*N('Peta CPL'!$C$15)*N('Peta CPL'!$I$15)+N(N17)*N('Peta CPL'!$C$16)*N('Peta CPL'!$I$16)+N(O17)*N('Peta CPL'!$C$17)*N('Peta CPL'!$I$17)+N(P17)*N('Peta CPL'!$C$18)*N('Peta CPL'!$I$18)+N(Q17)*N('Peta CPL'!$C$19)*N('Peta CPL'!$I$19)+N(R17)*N('Peta CPL'!$C$20)*N('Peta CPL'!$I$20)+N(S17)*N('Peta CPL'!$C$21)*N('Peta CPL'!$I$21))/(N('Peta CPL'!$C$14)*N('Peta CPL'!$I$14)+N('Peta CPL'!$C$15)*N('Peta CPL'!$I$15)+N('Peta CPL'!$C$16)*N('Peta CPL'!$I$16)+N('Peta CPL'!$C$17)*N('Peta CPL'!$I$17)+N('Peta CPL'!$C$18)*N('Peta CPL'!$I$18)+N('Peta CPL'!$C$19)*N('Peta CPL'!$I$19)+N('Peta CPL'!$C$20)*N('Peta CPL'!$I$20)+N('Peta CPL'!$C$21)*N('Peta CPL'!$I$21)),""))</f>
        <v/>
      </c>
      <c r="Z17" s="7">
        <f>IF($B17="","",IFERROR((N(L17)*N('Peta CPL'!$C$14)+N(M17)*N('Peta CPL'!$C$15)+N(N17)*N('Peta CPL'!$C$16)+N(O17)*N('Peta CPL'!$C$17)+N(P17)*N('Peta CPL'!$C$18)+N(Q17)*N('Peta CPL'!$C$19)+N(R17)*N('Peta CPL'!$C$20)+N(S17)*N('Peta CPL'!$C$21))/100,""))</f>
        <v/>
      </c>
    </row>
    <row r="18">
      <c r="A18" s="7">
        <f>'Input Nilai'!A18</f>
        <v/>
      </c>
      <c r="B18" s="7">
        <f>'Input Nilai'!B18</f>
        <v/>
      </c>
      <c r="C18" s="15">
        <f>'Input Nilai'!C18</f>
        <v/>
      </c>
      <c r="D18" s="7">
        <f>IF(OR('Input Nilai'!$B18="",'Bobot CPMK'!$O$4=0),"",(SUMPRODUCT('Input Nilai'!D18:L18,'Bobot CPMK'!$E$4:$M$4)+'Input Nilai'!$BX18*'Bobot CPMK'!$N$4)/'Bobot CPMK'!$O$4)</f>
        <v/>
      </c>
      <c r="E18" s="7">
        <f>IF(OR('Input Nilai'!$B18="",'Bobot CPMK'!$O$5=0),"",(SUMPRODUCT('Input Nilai'!M18:U18,'Bobot CPMK'!$E$5:$M$5)+'Input Nilai'!$BX18*'Bobot CPMK'!$N$5)/'Bobot CPMK'!$O$5)</f>
        <v/>
      </c>
      <c r="F18" s="7">
        <f>IF(OR('Input Nilai'!$B18="",'Bobot CPMK'!$O$6=0),"",(SUMPRODUCT('Input Nilai'!V18:AD18,'Bobot CPMK'!$E$6:$M$6)+'Input Nilai'!$BX18*'Bobot CPMK'!$N$6)/'Bobot CPMK'!$O$6)</f>
        <v/>
      </c>
      <c r="G18" s="7">
        <f>IF(OR('Input Nilai'!$B18="",'Bobot CPMK'!$O$7=0),"",(SUMPRODUCT('Input Nilai'!AE18:AM18,'Bobot CPMK'!$E$7:$M$7)+'Input Nilai'!$BX18*'Bobot CPMK'!$N$7)/'Bobot CPMK'!$O$7)</f>
        <v/>
      </c>
      <c r="H18" s="7">
        <f>IF(OR('Input Nilai'!$B18="",'Bobot CPMK'!$O$8=0),"",(SUMPRODUCT('Input Nilai'!AN18:AV18,'Bobot CPMK'!$E$8:$M$8)+'Input Nilai'!$BX18*'Bobot CPMK'!$N$8)/'Bobot CPMK'!$O$8)</f>
        <v/>
      </c>
      <c r="I18" s="7">
        <f>IF(OR('Input Nilai'!$B18="",'Bobot CPMK'!$O$9=0),"",(SUMPRODUCT('Input Nilai'!AW18:BE18,'Bobot CPMK'!$E$9:$M$9)+'Input Nilai'!$BX18*'Bobot CPMK'!$N$9)/'Bobot CPMK'!$O$9)</f>
        <v/>
      </c>
      <c r="J18" s="7">
        <f>IF(OR('Input Nilai'!$B18="",'Bobot CPMK'!$O$10=0),"",(SUMPRODUCT('Input Nilai'!BF18:BN18,'Bobot CPMK'!$E$10:$M$10)+'Input Nilai'!$BX18*'Bobot CPMK'!$N$10)/'Bobot CPMK'!$O$10)</f>
        <v/>
      </c>
      <c r="K18" s="7">
        <f>IF(OR('Input Nilai'!$B18="",'Bobot CPMK'!$O$11=0),"",(SUMPRODUCT('Input Nilai'!BO18:BW18,'Bobot CPMK'!$E$11:$M$11)+'Input Nilai'!$BX18*'Bobot CPMK'!$N$11)/'Bobot CPMK'!$O$11)</f>
        <v/>
      </c>
      <c r="L18" s="7">
        <f>IF(OR($B18="",'Peta CPL'!$A$14=""),"",IFERROR(SUM(IF('Bobot CPMK'!$B$4='Peta CPL'!$A$14,N(D18)*'Bobot CPMK'!$P$4,0),IF('Bobot CPMK'!$B$5='Peta CPL'!$A$14,N(E18)*'Bobot CPMK'!$P$5,0),IF('Bobot CPMK'!$B$6='Peta CPL'!$A$14,N(F18)*'Bobot CPMK'!$P$6,0),IF('Bobot CPMK'!$B$7='Peta CPL'!$A$14,N(G18)*'Bobot CPMK'!$P$7,0),IF('Bobot CPMK'!$B$8='Peta CPL'!$A$14,N(H18)*'Bobot CPMK'!$P$8,0),IF('Bobot CPMK'!$B$9='Peta CPL'!$A$14,N(I18)*'Bobot CPMK'!$P$9,0),IF('Bobot CPMK'!$B$10='Peta CPL'!$A$14,N(J18)*'Bobot CPMK'!$P$10,0),IF('Bobot CPMK'!$B$11='Peta CPL'!$A$14,N(K18)*'Bobot CPMK'!$P$11,0))/SUM(IF('Bobot CPMK'!$B$4='Peta CPL'!$A$14,'Bobot CPMK'!$P$4,0),IF('Bobot CPMK'!$B$5='Peta CPL'!$A$14,'Bobot CPMK'!$P$5,0),IF('Bobot CPMK'!$B$6='Peta CPL'!$A$14,'Bobot CPMK'!$P$6,0),IF('Bobot CPMK'!$B$7='Peta CPL'!$A$14,'Bobot CPMK'!$P$7,0),IF('Bobot CPMK'!$B$8='Peta CPL'!$A$14,'Bobot CPMK'!$P$8,0),IF('Bobot CPMK'!$B$9='Peta CPL'!$A$14,'Bobot CPMK'!$P$9,0),IF('Bobot CPMK'!$B$10='Peta CPL'!$A$14,'Bobot CPMK'!$P$10,0),IF('Bobot CPMK'!$B$11='Peta CPL'!$A$14,'Bobot CPMK'!$P$11,0)),""))</f>
        <v/>
      </c>
      <c r="M18" s="7">
        <f>IF(OR($B18="",'Peta CPL'!$A$15=""),"",IFERROR(SUM(IF('Bobot CPMK'!$B$4='Peta CPL'!$A$15,N(D18)*'Bobot CPMK'!$P$4,0),IF('Bobot CPMK'!$B$5='Peta CPL'!$A$15,N(E18)*'Bobot CPMK'!$P$5,0),IF('Bobot CPMK'!$B$6='Peta CPL'!$A$15,N(F18)*'Bobot CPMK'!$P$6,0),IF('Bobot CPMK'!$B$7='Peta CPL'!$A$15,N(G18)*'Bobot CPMK'!$P$7,0),IF('Bobot CPMK'!$B$8='Peta CPL'!$A$15,N(H18)*'Bobot CPMK'!$P$8,0),IF('Bobot CPMK'!$B$9='Peta CPL'!$A$15,N(I18)*'Bobot CPMK'!$P$9,0),IF('Bobot CPMK'!$B$10='Peta CPL'!$A$15,N(J18)*'Bobot CPMK'!$P$10,0),IF('Bobot CPMK'!$B$11='Peta CPL'!$A$15,N(K18)*'Bobot CPMK'!$P$11,0))/SUM(IF('Bobot CPMK'!$B$4='Peta CPL'!$A$15,'Bobot CPMK'!$P$4,0),IF('Bobot CPMK'!$B$5='Peta CPL'!$A$15,'Bobot CPMK'!$P$5,0),IF('Bobot CPMK'!$B$6='Peta CPL'!$A$15,'Bobot CPMK'!$P$6,0),IF('Bobot CPMK'!$B$7='Peta CPL'!$A$15,'Bobot CPMK'!$P$7,0),IF('Bobot CPMK'!$B$8='Peta CPL'!$A$15,'Bobot CPMK'!$P$8,0),IF('Bobot CPMK'!$B$9='Peta CPL'!$A$15,'Bobot CPMK'!$P$9,0),IF('Bobot CPMK'!$B$10='Peta CPL'!$A$15,'Bobot CPMK'!$P$10,0),IF('Bobot CPMK'!$B$11='Peta CPL'!$A$15,'Bobot CPMK'!$P$11,0)),""))</f>
        <v/>
      </c>
      <c r="N18" s="7">
        <f>IF(OR($B18="",'Peta CPL'!$A$16=""),"",IFERROR(SUM(IF('Bobot CPMK'!$B$4='Peta CPL'!$A$16,N(D18)*'Bobot CPMK'!$P$4,0),IF('Bobot CPMK'!$B$5='Peta CPL'!$A$16,N(E18)*'Bobot CPMK'!$P$5,0),IF('Bobot CPMK'!$B$6='Peta CPL'!$A$16,N(F18)*'Bobot CPMK'!$P$6,0),IF('Bobot CPMK'!$B$7='Peta CPL'!$A$16,N(G18)*'Bobot CPMK'!$P$7,0),IF('Bobot CPMK'!$B$8='Peta CPL'!$A$16,N(H18)*'Bobot CPMK'!$P$8,0),IF('Bobot CPMK'!$B$9='Peta CPL'!$A$16,N(I18)*'Bobot CPMK'!$P$9,0),IF('Bobot CPMK'!$B$10='Peta CPL'!$A$16,N(J18)*'Bobot CPMK'!$P$10,0),IF('Bobot CPMK'!$B$11='Peta CPL'!$A$16,N(K18)*'Bobot CPMK'!$P$11,0))/SUM(IF('Bobot CPMK'!$B$4='Peta CPL'!$A$16,'Bobot CPMK'!$P$4,0),IF('Bobot CPMK'!$B$5='Peta CPL'!$A$16,'Bobot CPMK'!$P$5,0),IF('Bobot CPMK'!$B$6='Peta CPL'!$A$16,'Bobot CPMK'!$P$6,0),IF('Bobot CPMK'!$B$7='Peta CPL'!$A$16,'Bobot CPMK'!$P$7,0),IF('Bobot CPMK'!$B$8='Peta CPL'!$A$16,'Bobot CPMK'!$P$8,0),IF('Bobot CPMK'!$B$9='Peta CPL'!$A$16,'Bobot CPMK'!$P$9,0),IF('Bobot CPMK'!$B$10='Peta CPL'!$A$16,'Bobot CPMK'!$P$10,0),IF('Bobot CPMK'!$B$11='Peta CPL'!$A$16,'Bobot CPMK'!$P$11,0)),""))</f>
        <v/>
      </c>
      <c r="O18" s="7">
        <f>IF(OR($B18="",'Peta CPL'!$A$17=""),"",IFERROR(SUM(IF('Bobot CPMK'!$B$4='Peta CPL'!$A$17,N(D18)*'Bobot CPMK'!$P$4,0),IF('Bobot CPMK'!$B$5='Peta CPL'!$A$17,N(E18)*'Bobot CPMK'!$P$5,0),IF('Bobot CPMK'!$B$6='Peta CPL'!$A$17,N(F18)*'Bobot CPMK'!$P$6,0),IF('Bobot CPMK'!$B$7='Peta CPL'!$A$17,N(G18)*'Bobot CPMK'!$P$7,0),IF('Bobot CPMK'!$B$8='Peta CPL'!$A$17,N(H18)*'Bobot CPMK'!$P$8,0),IF('Bobot CPMK'!$B$9='Peta CPL'!$A$17,N(I18)*'Bobot CPMK'!$P$9,0),IF('Bobot CPMK'!$B$10='Peta CPL'!$A$17,N(J18)*'Bobot CPMK'!$P$10,0),IF('Bobot CPMK'!$B$11='Peta CPL'!$A$17,N(K18)*'Bobot CPMK'!$P$11,0))/SUM(IF('Bobot CPMK'!$B$4='Peta CPL'!$A$17,'Bobot CPMK'!$P$4,0),IF('Bobot CPMK'!$B$5='Peta CPL'!$A$17,'Bobot CPMK'!$P$5,0),IF('Bobot CPMK'!$B$6='Peta CPL'!$A$17,'Bobot CPMK'!$P$6,0),IF('Bobot CPMK'!$B$7='Peta CPL'!$A$17,'Bobot CPMK'!$P$7,0),IF('Bobot CPMK'!$B$8='Peta CPL'!$A$17,'Bobot CPMK'!$P$8,0),IF('Bobot CPMK'!$B$9='Peta CPL'!$A$17,'Bobot CPMK'!$P$9,0),IF('Bobot CPMK'!$B$10='Peta CPL'!$A$17,'Bobot CPMK'!$P$10,0),IF('Bobot CPMK'!$B$11='Peta CPL'!$A$17,'Bobot CPMK'!$P$11,0)),""))</f>
        <v/>
      </c>
      <c r="P18" s="7">
        <f>IF(OR($B18="",'Peta CPL'!$A$18=""),"",IFERROR(SUM(IF('Bobot CPMK'!$B$4='Peta CPL'!$A$18,N(D18)*'Bobot CPMK'!$P$4,0),IF('Bobot CPMK'!$B$5='Peta CPL'!$A$18,N(E18)*'Bobot CPMK'!$P$5,0),IF('Bobot CPMK'!$B$6='Peta CPL'!$A$18,N(F18)*'Bobot CPMK'!$P$6,0),IF('Bobot CPMK'!$B$7='Peta CPL'!$A$18,N(G18)*'Bobot CPMK'!$P$7,0),IF('Bobot CPMK'!$B$8='Peta CPL'!$A$18,N(H18)*'Bobot CPMK'!$P$8,0),IF('Bobot CPMK'!$B$9='Peta CPL'!$A$18,N(I18)*'Bobot CPMK'!$P$9,0),IF('Bobot CPMK'!$B$10='Peta CPL'!$A$18,N(J18)*'Bobot CPMK'!$P$10,0),IF('Bobot CPMK'!$B$11='Peta CPL'!$A$18,N(K18)*'Bobot CPMK'!$P$11,0))/SUM(IF('Bobot CPMK'!$B$4='Peta CPL'!$A$18,'Bobot CPMK'!$P$4,0),IF('Bobot CPMK'!$B$5='Peta CPL'!$A$18,'Bobot CPMK'!$P$5,0),IF('Bobot CPMK'!$B$6='Peta CPL'!$A$18,'Bobot CPMK'!$P$6,0),IF('Bobot CPMK'!$B$7='Peta CPL'!$A$18,'Bobot CPMK'!$P$7,0),IF('Bobot CPMK'!$B$8='Peta CPL'!$A$18,'Bobot CPMK'!$P$8,0),IF('Bobot CPMK'!$B$9='Peta CPL'!$A$18,'Bobot CPMK'!$P$9,0),IF('Bobot CPMK'!$B$10='Peta CPL'!$A$18,'Bobot CPMK'!$P$10,0),IF('Bobot CPMK'!$B$11='Peta CPL'!$A$18,'Bobot CPMK'!$P$11,0)),""))</f>
        <v/>
      </c>
      <c r="Q18" s="7">
        <f>IF(OR($B18="",'Peta CPL'!$A$19=""),"",IFERROR(SUM(IF('Bobot CPMK'!$B$4='Peta CPL'!$A$19,N(D18)*'Bobot CPMK'!$P$4,0),IF('Bobot CPMK'!$B$5='Peta CPL'!$A$19,N(E18)*'Bobot CPMK'!$P$5,0),IF('Bobot CPMK'!$B$6='Peta CPL'!$A$19,N(F18)*'Bobot CPMK'!$P$6,0),IF('Bobot CPMK'!$B$7='Peta CPL'!$A$19,N(G18)*'Bobot CPMK'!$P$7,0),IF('Bobot CPMK'!$B$8='Peta CPL'!$A$19,N(H18)*'Bobot CPMK'!$P$8,0),IF('Bobot CPMK'!$B$9='Peta CPL'!$A$19,N(I18)*'Bobot CPMK'!$P$9,0),IF('Bobot CPMK'!$B$10='Peta CPL'!$A$19,N(J18)*'Bobot CPMK'!$P$10,0),IF('Bobot CPMK'!$B$11='Peta CPL'!$A$19,N(K18)*'Bobot CPMK'!$P$11,0))/SUM(IF('Bobot CPMK'!$B$4='Peta CPL'!$A$19,'Bobot CPMK'!$P$4,0),IF('Bobot CPMK'!$B$5='Peta CPL'!$A$19,'Bobot CPMK'!$P$5,0),IF('Bobot CPMK'!$B$6='Peta CPL'!$A$19,'Bobot CPMK'!$P$6,0),IF('Bobot CPMK'!$B$7='Peta CPL'!$A$19,'Bobot CPMK'!$P$7,0),IF('Bobot CPMK'!$B$8='Peta CPL'!$A$19,'Bobot CPMK'!$P$8,0),IF('Bobot CPMK'!$B$9='Peta CPL'!$A$19,'Bobot CPMK'!$P$9,0),IF('Bobot CPMK'!$B$10='Peta CPL'!$A$19,'Bobot CPMK'!$P$10,0),IF('Bobot CPMK'!$B$11='Peta CPL'!$A$19,'Bobot CPMK'!$P$11,0)),""))</f>
        <v/>
      </c>
      <c r="R18" s="7">
        <f>IF(OR($B18="",'Peta CPL'!$A$20=""),"",IFERROR(SUM(IF('Bobot CPMK'!$B$4='Peta CPL'!$A$20,N(D18)*'Bobot CPMK'!$P$4,0),IF('Bobot CPMK'!$B$5='Peta CPL'!$A$20,N(E18)*'Bobot CPMK'!$P$5,0),IF('Bobot CPMK'!$B$6='Peta CPL'!$A$20,N(F18)*'Bobot CPMK'!$P$6,0),IF('Bobot CPMK'!$B$7='Peta CPL'!$A$20,N(G18)*'Bobot CPMK'!$P$7,0),IF('Bobot CPMK'!$B$8='Peta CPL'!$A$20,N(H18)*'Bobot CPMK'!$P$8,0),IF('Bobot CPMK'!$B$9='Peta CPL'!$A$20,N(I18)*'Bobot CPMK'!$P$9,0),IF('Bobot CPMK'!$B$10='Peta CPL'!$A$20,N(J18)*'Bobot CPMK'!$P$10,0),IF('Bobot CPMK'!$B$11='Peta CPL'!$A$20,N(K18)*'Bobot CPMK'!$P$11,0))/SUM(IF('Bobot CPMK'!$B$4='Peta CPL'!$A$20,'Bobot CPMK'!$P$4,0),IF('Bobot CPMK'!$B$5='Peta CPL'!$A$20,'Bobot CPMK'!$P$5,0),IF('Bobot CPMK'!$B$6='Peta CPL'!$A$20,'Bobot CPMK'!$P$6,0),IF('Bobot CPMK'!$B$7='Peta CPL'!$A$20,'Bobot CPMK'!$P$7,0),IF('Bobot CPMK'!$B$8='Peta CPL'!$A$20,'Bobot CPMK'!$P$8,0),IF('Bobot CPMK'!$B$9='Peta CPL'!$A$20,'Bobot CPMK'!$P$9,0),IF('Bobot CPMK'!$B$10='Peta CPL'!$A$20,'Bobot CPMK'!$P$10,0),IF('Bobot CPMK'!$B$11='Peta CPL'!$A$20,'Bobot CPMK'!$P$11,0)),""))</f>
        <v/>
      </c>
      <c r="S18" s="7">
        <f>IF(OR($B18="",'Peta CPL'!$A$21=""),"",IFERROR(SUM(IF('Bobot CPMK'!$B$4='Peta CPL'!$A$21,N(D18)*'Bobot CPMK'!$P$4,0),IF('Bobot CPMK'!$B$5='Peta CPL'!$A$21,N(E18)*'Bobot CPMK'!$P$5,0),IF('Bobot CPMK'!$B$6='Peta CPL'!$A$21,N(F18)*'Bobot CPMK'!$P$6,0),IF('Bobot CPMK'!$B$7='Peta CPL'!$A$21,N(G18)*'Bobot CPMK'!$P$7,0),IF('Bobot CPMK'!$B$8='Peta CPL'!$A$21,N(H18)*'Bobot CPMK'!$P$8,0),IF('Bobot CPMK'!$B$9='Peta CPL'!$A$21,N(I18)*'Bobot CPMK'!$P$9,0),IF('Bobot CPMK'!$B$10='Peta CPL'!$A$21,N(J18)*'Bobot CPMK'!$P$10,0),IF('Bobot CPMK'!$B$11='Peta CPL'!$A$21,N(K18)*'Bobot CPMK'!$P$11,0))/SUM(IF('Bobot CPMK'!$B$4='Peta CPL'!$A$21,'Bobot CPMK'!$P$4,0),IF('Bobot CPMK'!$B$5='Peta CPL'!$A$21,'Bobot CPMK'!$P$5,0),IF('Bobot CPMK'!$B$6='Peta CPL'!$A$21,'Bobot CPMK'!$P$6,0),IF('Bobot CPMK'!$B$7='Peta CPL'!$A$21,'Bobot CPMK'!$P$7,0),IF('Bobot CPMK'!$B$8='Peta CPL'!$A$21,'Bobot CPMK'!$P$8,0),IF('Bobot CPMK'!$B$9='Peta CPL'!$A$21,'Bobot CPMK'!$P$9,0),IF('Bobot CPMK'!$B$10='Peta CPL'!$A$21,'Bobot CPMK'!$P$10,0),IF('Bobot CPMK'!$B$11='Peta CPL'!$A$21,'Bobot CPMK'!$P$11,0)),""))</f>
        <v/>
      </c>
      <c r="T18" s="7">
        <f>IF(OR($B18="",'Peta CPL'!$A$5=""),"",IFERROR((N(L18)*N('Peta CPL'!$C$14)*N('Peta CPL'!$D$14)+N(M18)*N('Peta CPL'!$C$15)*N('Peta CPL'!$D$15)+N(N18)*N('Peta CPL'!$C$16)*N('Peta CPL'!$D$16)+N(O18)*N('Peta CPL'!$C$17)*N('Peta CPL'!$D$17)+N(P18)*N('Peta CPL'!$C$18)*N('Peta CPL'!$D$18)+N(Q18)*N('Peta CPL'!$C$19)*N('Peta CPL'!$D$19)+N(R18)*N('Peta CPL'!$C$20)*N('Peta CPL'!$D$20)+N(S18)*N('Peta CPL'!$C$21)*N('Peta CPL'!$D$21))/(N('Peta CPL'!$C$14)*N('Peta CPL'!$D$14)+N('Peta CPL'!$C$15)*N('Peta CPL'!$D$15)+N('Peta CPL'!$C$16)*N('Peta CPL'!$D$16)+N('Peta CPL'!$C$17)*N('Peta CPL'!$D$17)+N('Peta CPL'!$C$18)*N('Peta CPL'!$D$18)+N('Peta CPL'!$C$19)*N('Peta CPL'!$D$19)+N('Peta CPL'!$C$20)*N('Peta CPL'!$D$20)+N('Peta CPL'!$C$21)*N('Peta CPL'!$D$21)),""))</f>
        <v/>
      </c>
      <c r="U18" s="7">
        <f>IF(OR($B18="",'Peta CPL'!$A$6=""),"",IFERROR((N(L18)*N('Peta CPL'!$C$14)*N('Peta CPL'!$E$14)+N(M18)*N('Peta CPL'!$C$15)*N('Peta CPL'!$E$15)+N(N18)*N('Peta CPL'!$C$16)*N('Peta CPL'!$E$16)+N(O18)*N('Peta CPL'!$C$17)*N('Peta CPL'!$E$17)+N(P18)*N('Peta CPL'!$C$18)*N('Peta CPL'!$E$18)+N(Q18)*N('Peta CPL'!$C$19)*N('Peta CPL'!$E$19)+N(R18)*N('Peta CPL'!$C$20)*N('Peta CPL'!$E$20)+N(S18)*N('Peta CPL'!$C$21)*N('Peta CPL'!$E$21))/(N('Peta CPL'!$C$14)*N('Peta CPL'!$E$14)+N('Peta CPL'!$C$15)*N('Peta CPL'!$E$15)+N('Peta CPL'!$C$16)*N('Peta CPL'!$E$16)+N('Peta CPL'!$C$17)*N('Peta CPL'!$E$17)+N('Peta CPL'!$C$18)*N('Peta CPL'!$E$18)+N('Peta CPL'!$C$19)*N('Peta CPL'!$E$19)+N('Peta CPL'!$C$20)*N('Peta CPL'!$E$20)+N('Peta CPL'!$C$21)*N('Peta CPL'!$E$21)),""))</f>
        <v/>
      </c>
      <c r="V18" s="7">
        <f>IF(OR($B18="",'Peta CPL'!$A$7=""),"",IFERROR((N(L18)*N('Peta CPL'!$C$14)*N('Peta CPL'!$F$14)+N(M18)*N('Peta CPL'!$C$15)*N('Peta CPL'!$F$15)+N(N18)*N('Peta CPL'!$C$16)*N('Peta CPL'!$F$16)+N(O18)*N('Peta CPL'!$C$17)*N('Peta CPL'!$F$17)+N(P18)*N('Peta CPL'!$C$18)*N('Peta CPL'!$F$18)+N(Q18)*N('Peta CPL'!$C$19)*N('Peta CPL'!$F$19)+N(R18)*N('Peta CPL'!$C$20)*N('Peta CPL'!$F$20)+N(S18)*N('Peta CPL'!$C$21)*N('Peta CPL'!$F$21))/(N('Peta CPL'!$C$14)*N('Peta CPL'!$F$14)+N('Peta CPL'!$C$15)*N('Peta CPL'!$F$15)+N('Peta CPL'!$C$16)*N('Peta CPL'!$F$16)+N('Peta CPL'!$C$17)*N('Peta CPL'!$F$17)+N('Peta CPL'!$C$18)*N('Peta CPL'!$F$18)+N('Peta CPL'!$C$19)*N('Peta CPL'!$F$19)+N('Peta CPL'!$C$20)*N('Peta CPL'!$F$20)+N('Peta CPL'!$C$21)*N('Peta CPL'!$F$21)),""))</f>
        <v/>
      </c>
      <c r="W18" s="7">
        <f>IF(OR($B18="",'Peta CPL'!$A$8=""),"",IFERROR((N(L18)*N('Peta CPL'!$C$14)*N('Peta CPL'!$G$14)+N(M18)*N('Peta CPL'!$C$15)*N('Peta CPL'!$G$15)+N(N18)*N('Peta CPL'!$C$16)*N('Peta CPL'!$G$16)+N(O18)*N('Peta CPL'!$C$17)*N('Peta CPL'!$G$17)+N(P18)*N('Peta CPL'!$C$18)*N('Peta CPL'!$G$18)+N(Q18)*N('Peta CPL'!$C$19)*N('Peta CPL'!$G$19)+N(R18)*N('Peta CPL'!$C$20)*N('Peta CPL'!$G$20)+N(S18)*N('Peta CPL'!$C$21)*N('Peta CPL'!$G$21))/(N('Peta CPL'!$C$14)*N('Peta CPL'!$G$14)+N('Peta CPL'!$C$15)*N('Peta CPL'!$G$15)+N('Peta CPL'!$C$16)*N('Peta CPL'!$G$16)+N('Peta CPL'!$C$17)*N('Peta CPL'!$G$17)+N('Peta CPL'!$C$18)*N('Peta CPL'!$G$18)+N('Peta CPL'!$C$19)*N('Peta CPL'!$G$19)+N('Peta CPL'!$C$20)*N('Peta CPL'!$G$20)+N('Peta CPL'!$C$21)*N('Peta CPL'!$G$21)),""))</f>
        <v/>
      </c>
      <c r="X18" s="7">
        <f>IF(OR($B18="",'Peta CPL'!$A$9=""),"",IFERROR((N(L18)*N('Peta CPL'!$C$14)*N('Peta CPL'!$H$14)+N(M18)*N('Peta CPL'!$C$15)*N('Peta CPL'!$H$15)+N(N18)*N('Peta CPL'!$C$16)*N('Peta CPL'!$H$16)+N(O18)*N('Peta CPL'!$C$17)*N('Peta CPL'!$H$17)+N(P18)*N('Peta CPL'!$C$18)*N('Peta CPL'!$H$18)+N(Q18)*N('Peta CPL'!$C$19)*N('Peta CPL'!$H$19)+N(R18)*N('Peta CPL'!$C$20)*N('Peta CPL'!$H$20)+N(S18)*N('Peta CPL'!$C$21)*N('Peta CPL'!$H$21))/(N('Peta CPL'!$C$14)*N('Peta CPL'!$H$14)+N('Peta CPL'!$C$15)*N('Peta CPL'!$H$15)+N('Peta CPL'!$C$16)*N('Peta CPL'!$H$16)+N('Peta CPL'!$C$17)*N('Peta CPL'!$H$17)+N('Peta CPL'!$C$18)*N('Peta CPL'!$H$18)+N('Peta CPL'!$C$19)*N('Peta CPL'!$H$19)+N('Peta CPL'!$C$20)*N('Peta CPL'!$H$20)+N('Peta CPL'!$C$21)*N('Peta CPL'!$H$21)),""))</f>
        <v/>
      </c>
      <c r="Y18" s="7">
        <f>IF(OR($B18="",'Peta CPL'!$A$10=""),"",IFERROR((N(L18)*N('Peta CPL'!$C$14)*N('Peta CPL'!$I$14)+N(M18)*N('Peta CPL'!$C$15)*N('Peta CPL'!$I$15)+N(N18)*N('Peta CPL'!$C$16)*N('Peta CPL'!$I$16)+N(O18)*N('Peta CPL'!$C$17)*N('Peta CPL'!$I$17)+N(P18)*N('Peta CPL'!$C$18)*N('Peta CPL'!$I$18)+N(Q18)*N('Peta CPL'!$C$19)*N('Peta CPL'!$I$19)+N(R18)*N('Peta CPL'!$C$20)*N('Peta CPL'!$I$20)+N(S18)*N('Peta CPL'!$C$21)*N('Peta CPL'!$I$21))/(N('Peta CPL'!$C$14)*N('Peta CPL'!$I$14)+N('Peta CPL'!$C$15)*N('Peta CPL'!$I$15)+N('Peta CPL'!$C$16)*N('Peta CPL'!$I$16)+N('Peta CPL'!$C$17)*N('Peta CPL'!$I$17)+N('Peta CPL'!$C$18)*N('Peta CPL'!$I$18)+N('Peta CPL'!$C$19)*N('Peta CPL'!$I$19)+N('Peta CPL'!$C$20)*N('Peta CPL'!$I$20)+N('Peta CPL'!$C$21)*N('Peta CPL'!$I$21)),""))</f>
        <v/>
      </c>
      <c r="Z18" s="7">
        <f>IF($B18="","",IFERROR((N(L18)*N('Peta CPL'!$C$14)+N(M18)*N('Peta CPL'!$C$15)+N(N18)*N('Peta CPL'!$C$16)+N(O18)*N('Peta CPL'!$C$17)+N(P18)*N('Peta CPL'!$C$18)+N(Q18)*N('Peta CPL'!$C$19)+N(R18)*N('Peta CPL'!$C$20)+N(S18)*N('Peta CPL'!$C$21))/100,""))</f>
        <v/>
      </c>
    </row>
    <row r="19">
      <c r="A19" s="7">
        <f>'Input Nilai'!A19</f>
        <v/>
      </c>
      <c r="B19" s="7">
        <f>'Input Nilai'!B19</f>
        <v/>
      </c>
      <c r="C19" s="15">
        <f>'Input Nilai'!C19</f>
        <v/>
      </c>
      <c r="D19" s="7">
        <f>IF(OR('Input Nilai'!$B19="",'Bobot CPMK'!$O$4=0),"",(SUMPRODUCT('Input Nilai'!D19:L19,'Bobot CPMK'!$E$4:$M$4)+'Input Nilai'!$BX19*'Bobot CPMK'!$N$4)/'Bobot CPMK'!$O$4)</f>
        <v/>
      </c>
      <c r="E19" s="7">
        <f>IF(OR('Input Nilai'!$B19="",'Bobot CPMK'!$O$5=0),"",(SUMPRODUCT('Input Nilai'!M19:U19,'Bobot CPMK'!$E$5:$M$5)+'Input Nilai'!$BX19*'Bobot CPMK'!$N$5)/'Bobot CPMK'!$O$5)</f>
        <v/>
      </c>
      <c r="F19" s="7">
        <f>IF(OR('Input Nilai'!$B19="",'Bobot CPMK'!$O$6=0),"",(SUMPRODUCT('Input Nilai'!V19:AD19,'Bobot CPMK'!$E$6:$M$6)+'Input Nilai'!$BX19*'Bobot CPMK'!$N$6)/'Bobot CPMK'!$O$6)</f>
        <v/>
      </c>
      <c r="G19" s="7">
        <f>IF(OR('Input Nilai'!$B19="",'Bobot CPMK'!$O$7=0),"",(SUMPRODUCT('Input Nilai'!AE19:AM19,'Bobot CPMK'!$E$7:$M$7)+'Input Nilai'!$BX19*'Bobot CPMK'!$N$7)/'Bobot CPMK'!$O$7)</f>
        <v/>
      </c>
      <c r="H19" s="7">
        <f>IF(OR('Input Nilai'!$B19="",'Bobot CPMK'!$O$8=0),"",(SUMPRODUCT('Input Nilai'!AN19:AV19,'Bobot CPMK'!$E$8:$M$8)+'Input Nilai'!$BX19*'Bobot CPMK'!$N$8)/'Bobot CPMK'!$O$8)</f>
        <v/>
      </c>
      <c r="I19" s="7">
        <f>IF(OR('Input Nilai'!$B19="",'Bobot CPMK'!$O$9=0),"",(SUMPRODUCT('Input Nilai'!AW19:BE19,'Bobot CPMK'!$E$9:$M$9)+'Input Nilai'!$BX19*'Bobot CPMK'!$N$9)/'Bobot CPMK'!$O$9)</f>
        <v/>
      </c>
      <c r="J19" s="7">
        <f>IF(OR('Input Nilai'!$B19="",'Bobot CPMK'!$O$10=0),"",(SUMPRODUCT('Input Nilai'!BF19:BN19,'Bobot CPMK'!$E$10:$M$10)+'Input Nilai'!$BX19*'Bobot CPMK'!$N$10)/'Bobot CPMK'!$O$10)</f>
        <v/>
      </c>
      <c r="K19" s="7">
        <f>IF(OR('Input Nilai'!$B19="",'Bobot CPMK'!$O$11=0),"",(SUMPRODUCT('Input Nilai'!BO19:BW19,'Bobot CPMK'!$E$11:$M$11)+'Input Nilai'!$BX19*'Bobot CPMK'!$N$11)/'Bobot CPMK'!$O$11)</f>
        <v/>
      </c>
      <c r="L19" s="7">
        <f>IF(OR($B19="",'Peta CPL'!$A$14=""),"",IFERROR(SUM(IF('Bobot CPMK'!$B$4='Peta CPL'!$A$14,N(D19)*'Bobot CPMK'!$P$4,0),IF('Bobot CPMK'!$B$5='Peta CPL'!$A$14,N(E19)*'Bobot CPMK'!$P$5,0),IF('Bobot CPMK'!$B$6='Peta CPL'!$A$14,N(F19)*'Bobot CPMK'!$P$6,0),IF('Bobot CPMK'!$B$7='Peta CPL'!$A$14,N(G19)*'Bobot CPMK'!$P$7,0),IF('Bobot CPMK'!$B$8='Peta CPL'!$A$14,N(H19)*'Bobot CPMK'!$P$8,0),IF('Bobot CPMK'!$B$9='Peta CPL'!$A$14,N(I19)*'Bobot CPMK'!$P$9,0),IF('Bobot CPMK'!$B$10='Peta CPL'!$A$14,N(J19)*'Bobot CPMK'!$P$10,0),IF('Bobot CPMK'!$B$11='Peta CPL'!$A$14,N(K19)*'Bobot CPMK'!$P$11,0))/SUM(IF('Bobot CPMK'!$B$4='Peta CPL'!$A$14,'Bobot CPMK'!$P$4,0),IF('Bobot CPMK'!$B$5='Peta CPL'!$A$14,'Bobot CPMK'!$P$5,0),IF('Bobot CPMK'!$B$6='Peta CPL'!$A$14,'Bobot CPMK'!$P$6,0),IF('Bobot CPMK'!$B$7='Peta CPL'!$A$14,'Bobot CPMK'!$P$7,0),IF('Bobot CPMK'!$B$8='Peta CPL'!$A$14,'Bobot CPMK'!$P$8,0),IF('Bobot CPMK'!$B$9='Peta CPL'!$A$14,'Bobot CPMK'!$P$9,0),IF('Bobot CPMK'!$B$10='Peta CPL'!$A$14,'Bobot CPMK'!$P$10,0),IF('Bobot CPMK'!$B$11='Peta CPL'!$A$14,'Bobot CPMK'!$P$11,0)),""))</f>
        <v/>
      </c>
      <c r="M19" s="7">
        <f>IF(OR($B19="",'Peta CPL'!$A$15=""),"",IFERROR(SUM(IF('Bobot CPMK'!$B$4='Peta CPL'!$A$15,N(D19)*'Bobot CPMK'!$P$4,0),IF('Bobot CPMK'!$B$5='Peta CPL'!$A$15,N(E19)*'Bobot CPMK'!$P$5,0),IF('Bobot CPMK'!$B$6='Peta CPL'!$A$15,N(F19)*'Bobot CPMK'!$P$6,0),IF('Bobot CPMK'!$B$7='Peta CPL'!$A$15,N(G19)*'Bobot CPMK'!$P$7,0),IF('Bobot CPMK'!$B$8='Peta CPL'!$A$15,N(H19)*'Bobot CPMK'!$P$8,0),IF('Bobot CPMK'!$B$9='Peta CPL'!$A$15,N(I19)*'Bobot CPMK'!$P$9,0),IF('Bobot CPMK'!$B$10='Peta CPL'!$A$15,N(J19)*'Bobot CPMK'!$P$10,0),IF('Bobot CPMK'!$B$11='Peta CPL'!$A$15,N(K19)*'Bobot CPMK'!$P$11,0))/SUM(IF('Bobot CPMK'!$B$4='Peta CPL'!$A$15,'Bobot CPMK'!$P$4,0),IF('Bobot CPMK'!$B$5='Peta CPL'!$A$15,'Bobot CPMK'!$P$5,0),IF('Bobot CPMK'!$B$6='Peta CPL'!$A$15,'Bobot CPMK'!$P$6,0),IF('Bobot CPMK'!$B$7='Peta CPL'!$A$15,'Bobot CPMK'!$P$7,0),IF('Bobot CPMK'!$B$8='Peta CPL'!$A$15,'Bobot CPMK'!$P$8,0),IF('Bobot CPMK'!$B$9='Peta CPL'!$A$15,'Bobot CPMK'!$P$9,0),IF('Bobot CPMK'!$B$10='Peta CPL'!$A$15,'Bobot CPMK'!$P$10,0),IF('Bobot CPMK'!$B$11='Peta CPL'!$A$15,'Bobot CPMK'!$P$11,0)),""))</f>
        <v/>
      </c>
      <c r="N19" s="7">
        <f>IF(OR($B19="",'Peta CPL'!$A$16=""),"",IFERROR(SUM(IF('Bobot CPMK'!$B$4='Peta CPL'!$A$16,N(D19)*'Bobot CPMK'!$P$4,0),IF('Bobot CPMK'!$B$5='Peta CPL'!$A$16,N(E19)*'Bobot CPMK'!$P$5,0),IF('Bobot CPMK'!$B$6='Peta CPL'!$A$16,N(F19)*'Bobot CPMK'!$P$6,0),IF('Bobot CPMK'!$B$7='Peta CPL'!$A$16,N(G19)*'Bobot CPMK'!$P$7,0),IF('Bobot CPMK'!$B$8='Peta CPL'!$A$16,N(H19)*'Bobot CPMK'!$P$8,0),IF('Bobot CPMK'!$B$9='Peta CPL'!$A$16,N(I19)*'Bobot CPMK'!$P$9,0),IF('Bobot CPMK'!$B$10='Peta CPL'!$A$16,N(J19)*'Bobot CPMK'!$P$10,0),IF('Bobot CPMK'!$B$11='Peta CPL'!$A$16,N(K19)*'Bobot CPMK'!$P$11,0))/SUM(IF('Bobot CPMK'!$B$4='Peta CPL'!$A$16,'Bobot CPMK'!$P$4,0),IF('Bobot CPMK'!$B$5='Peta CPL'!$A$16,'Bobot CPMK'!$P$5,0),IF('Bobot CPMK'!$B$6='Peta CPL'!$A$16,'Bobot CPMK'!$P$6,0),IF('Bobot CPMK'!$B$7='Peta CPL'!$A$16,'Bobot CPMK'!$P$7,0),IF('Bobot CPMK'!$B$8='Peta CPL'!$A$16,'Bobot CPMK'!$P$8,0),IF('Bobot CPMK'!$B$9='Peta CPL'!$A$16,'Bobot CPMK'!$P$9,0),IF('Bobot CPMK'!$B$10='Peta CPL'!$A$16,'Bobot CPMK'!$P$10,0),IF('Bobot CPMK'!$B$11='Peta CPL'!$A$16,'Bobot CPMK'!$P$11,0)),""))</f>
        <v/>
      </c>
      <c r="O19" s="7">
        <f>IF(OR($B19="",'Peta CPL'!$A$17=""),"",IFERROR(SUM(IF('Bobot CPMK'!$B$4='Peta CPL'!$A$17,N(D19)*'Bobot CPMK'!$P$4,0),IF('Bobot CPMK'!$B$5='Peta CPL'!$A$17,N(E19)*'Bobot CPMK'!$P$5,0),IF('Bobot CPMK'!$B$6='Peta CPL'!$A$17,N(F19)*'Bobot CPMK'!$P$6,0),IF('Bobot CPMK'!$B$7='Peta CPL'!$A$17,N(G19)*'Bobot CPMK'!$P$7,0),IF('Bobot CPMK'!$B$8='Peta CPL'!$A$17,N(H19)*'Bobot CPMK'!$P$8,0),IF('Bobot CPMK'!$B$9='Peta CPL'!$A$17,N(I19)*'Bobot CPMK'!$P$9,0),IF('Bobot CPMK'!$B$10='Peta CPL'!$A$17,N(J19)*'Bobot CPMK'!$P$10,0),IF('Bobot CPMK'!$B$11='Peta CPL'!$A$17,N(K19)*'Bobot CPMK'!$P$11,0))/SUM(IF('Bobot CPMK'!$B$4='Peta CPL'!$A$17,'Bobot CPMK'!$P$4,0),IF('Bobot CPMK'!$B$5='Peta CPL'!$A$17,'Bobot CPMK'!$P$5,0),IF('Bobot CPMK'!$B$6='Peta CPL'!$A$17,'Bobot CPMK'!$P$6,0),IF('Bobot CPMK'!$B$7='Peta CPL'!$A$17,'Bobot CPMK'!$P$7,0),IF('Bobot CPMK'!$B$8='Peta CPL'!$A$17,'Bobot CPMK'!$P$8,0),IF('Bobot CPMK'!$B$9='Peta CPL'!$A$17,'Bobot CPMK'!$P$9,0),IF('Bobot CPMK'!$B$10='Peta CPL'!$A$17,'Bobot CPMK'!$P$10,0),IF('Bobot CPMK'!$B$11='Peta CPL'!$A$17,'Bobot CPMK'!$P$11,0)),""))</f>
        <v/>
      </c>
      <c r="P19" s="7">
        <f>IF(OR($B19="",'Peta CPL'!$A$18=""),"",IFERROR(SUM(IF('Bobot CPMK'!$B$4='Peta CPL'!$A$18,N(D19)*'Bobot CPMK'!$P$4,0),IF('Bobot CPMK'!$B$5='Peta CPL'!$A$18,N(E19)*'Bobot CPMK'!$P$5,0),IF('Bobot CPMK'!$B$6='Peta CPL'!$A$18,N(F19)*'Bobot CPMK'!$P$6,0),IF('Bobot CPMK'!$B$7='Peta CPL'!$A$18,N(G19)*'Bobot CPMK'!$P$7,0),IF('Bobot CPMK'!$B$8='Peta CPL'!$A$18,N(H19)*'Bobot CPMK'!$P$8,0),IF('Bobot CPMK'!$B$9='Peta CPL'!$A$18,N(I19)*'Bobot CPMK'!$P$9,0),IF('Bobot CPMK'!$B$10='Peta CPL'!$A$18,N(J19)*'Bobot CPMK'!$P$10,0),IF('Bobot CPMK'!$B$11='Peta CPL'!$A$18,N(K19)*'Bobot CPMK'!$P$11,0))/SUM(IF('Bobot CPMK'!$B$4='Peta CPL'!$A$18,'Bobot CPMK'!$P$4,0),IF('Bobot CPMK'!$B$5='Peta CPL'!$A$18,'Bobot CPMK'!$P$5,0),IF('Bobot CPMK'!$B$6='Peta CPL'!$A$18,'Bobot CPMK'!$P$6,0),IF('Bobot CPMK'!$B$7='Peta CPL'!$A$18,'Bobot CPMK'!$P$7,0),IF('Bobot CPMK'!$B$8='Peta CPL'!$A$18,'Bobot CPMK'!$P$8,0),IF('Bobot CPMK'!$B$9='Peta CPL'!$A$18,'Bobot CPMK'!$P$9,0),IF('Bobot CPMK'!$B$10='Peta CPL'!$A$18,'Bobot CPMK'!$P$10,0),IF('Bobot CPMK'!$B$11='Peta CPL'!$A$18,'Bobot CPMK'!$P$11,0)),""))</f>
        <v/>
      </c>
      <c r="Q19" s="7">
        <f>IF(OR($B19="",'Peta CPL'!$A$19=""),"",IFERROR(SUM(IF('Bobot CPMK'!$B$4='Peta CPL'!$A$19,N(D19)*'Bobot CPMK'!$P$4,0),IF('Bobot CPMK'!$B$5='Peta CPL'!$A$19,N(E19)*'Bobot CPMK'!$P$5,0),IF('Bobot CPMK'!$B$6='Peta CPL'!$A$19,N(F19)*'Bobot CPMK'!$P$6,0),IF('Bobot CPMK'!$B$7='Peta CPL'!$A$19,N(G19)*'Bobot CPMK'!$P$7,0),IF('Bobot CPMK'!$B$8='Peta CPL'!$A$19,N(H19)*'Bobot CPMK'!$P$8,0),IF('Bobot CPMK'!$B$9='Peta CPL'!$A$19,N(I19)*'Bobot CPMK'!$P$9,0),IF('Bobot CPMK'!$B$10='Peta CPL'!$A$19,N(J19)*'Bobot CPMK'!$P$10,0),IF('Bobot CPMK'!$B$11='Peta CPL'!$A$19,N(K19)*'Bobot CPMK'!$P$11,0))/SUM(IF('Bobot CPMK'!$B$4='Peta CPL'!$A$19,'Bobot CPMK'!$P$4,0),IF('Bobot CPMK'!$B$5='Peta CPL'!$A$19,'Bobot CPMK'!$P$5,0),IF('Bobot CPMK'!$B$6='Peta CPL'!$A$19,'Bobot CPMK'!$P$6,0),IF('Bobot CPMK'!$B$7='Peta CPL'!$A$19,'Bobot CPMK'!$P$7,0),IF('Bobot CPMK'!$B$8='Peta CPL'!$A$19,'Bobot CPMK'!$P$8,0),IF('Bobot CPMK'!$B$9='Peta CPL'!$A$19,'Bobot CPMK'!$P$9,0),IF('Bobot CPMK'!$B$10='Peta CPL'!$A$19,'Bobot CPMK'!$P$10,0),IF('Bobot CPMK'!$B$11='Peta CPL'!$A$19,'Bobot CPMK'!$P$11,0)),""))</f>
        <v/>
      </c>
      <c r="R19" s="7">
        <f>IF(OR($B19="",'Peta CPL'!$A$20=""),"",IFERROR(SUM(IF('Bobot CPMK'!$B$4='Peta CPL'!$A$20,N(D19)*'Bobot CPMK'!$P$4,0),IF('Bobot CPMK'!$B$5='Peta CPL'!$A$20,N(E19)*'Bobot CPMK'!$P$5,0),IF('Bobot CPMK'!$B$6='Peta CPL'!$A$20,N(F19)*'Bobot CPMK'!$P$6,0),IF('Bobot CPMK'!$B$7='Peta CPL'!$A$20,N(G19)*'Bobot CPMK'!$P$7,0),IF('Bobot CPMK'!$B$8='Peta CPL'!$A$20,N(H19)*'Bobot CPMK'!$P$8,0),IF('Bobot CPMK'!$B$9='Peta CPL'!$A$20,N(I19)*'Bobot CPMK'!$P$9,0),IF('Bobot CPMK'!$B$10='Peta CPL'!$A$20,N(J19)*'Bobot CPMK'!$P$10,0),IF('Bobot CPMK'!$B$11='Peta CPL'!$A$20,N(K19)*'Bobot CPMK'!$P$11,0))/SUM(IF('Bobot CPMK'!$B$4='Peta CPL'!$A$20,'Bobot CPMK'!$P$4,0),IF('Bobot CPMK'!$B$5='Peta CPL'!$A$20,'Bobot CPMK'!$P$5,0),IF('Bobot CPMK'!$B$6='Peta CPL'!$A$20,'Bobot CPMK'!$P$6,0),IF('Bobot CPMK'!$B$7='Peta CPL'!$A$20,'Bobot CPMK'!$P$7,0),IF('Bobot CPMK'!$B$8='Peta CPL'!$A$20,'Bobot CPMK'!$P$8,0),IF('Bobot CPMK'!$B$9='Peta CPL'!$A$20,'Bobot CPMK'!$P$9,0),IF('Bobot CPMK'!$B$10='Peta CPL'!$A$20,'Bobot CPMK'!$P$10,0),IF('Bobot CPMK'!$B$11='Peta CPL'!$A$20,'Bobot CPMK'!$P$11,0)),""))</f>
        <v/>
      </c>
      <c r="S19" s="7">
        <f>IF(OR($B19="",'Peta CPL'!$A$21=""),"",IFERROR(SUM(IF('Bobot CPMK'!$B$4='Peta CPL'!$A$21,N(D19)*'Bobot CPMK'!$P$4,0),IF('Bobot CPMK'!$B$5='Peta CPL'!$A$21,N(E19)*'Bobot CPMK'!$P$5,0),IF('Bobot CPMK'!$B$6='Peta CPL'!$A$21,N(F19)*'Bobot CPMK'!$P$6,0),IF('Bobot CPMK'!$B$7='Peta CPL'!$A$21,N(G19)*'Bobot CPMK'!$P$7,0),IF('Bobot CPMK'!$B$8='Peta CPL'!$A$21,N(H19)*'Bobot CPMK'!$P$8,0),IF('Bobot CPMK'!$B$9='Peta CPL'!$A$21,N(I19)*'Bobot CPMK'!$P$9,0),IF('Bobot CPMK'!$B$10='Peta CPL'!$A$21,N(J19)*'Bobot CPMK'!$P$10,0),IF('Bobot CPMK'!$B$11='Peta CPL'!$A$21,N(K19)*'Bobot CPMK'!$P$11,0))/SUM(IF('Bobot CPMK'!$B$4='Peta CPL'!$A$21,'Bobot CPMK'!$P$4,0),IF('Bobot CPMK'!$B$5='Peta CPL'!$A$21,'Bobot CPMK'!$P$5,0),IF('Bobot CPMK'!$B$6='Peta CPL'!$A$21,'Bobot CPMK'!$P$6,0),IF('Bobot CPMK'!$B$7='Peta CPL'!$A$21,'Bobot CPMK'!$P$7,0),IF('Bobot CPMK'!$B$8='Peta CPL'!$A$21,'Bobot CPMK'!$P$8,0),IF('Bobot CPMK'!$B$9='Peta CPL'!$A$21,'Bobot CPMK'!$P$9,0),IF('Bobot CPMK'!$B$10='Peta CPL'!$A$21,'Bobot CPMK'!$P$10,0),IF('Bobot CPMK'!$B$11='Peta CPL'!$A$21,'Bobot CPMK'!$P$11,0)),""))</f>
        <v/>
      </c>
      <c r="T19" s="7">
        <f>IF(OR($B19="",'Peta CPL'!$A$5=""),"",IFERROR((N(L19)*N('Peta CPL'!$C$14)*N('Peta CPL'!$D$14)+N(M19)*N('Peta CPL'!$C$15)*N('Peta CPL'!$D$15)+N(N19)*N('Peta CPL'!$C$16)*N('Peta CPL'!$D$16)+N(O19)*N('Peta CPL'!$C$17)*N('Peta CPL'!$D$17)+N(P19)*N('Peta CPL'!$C$18)*N('Peta CPL'!$D$18)+N(Q19)*N('Peta CPL'!$C$19)*N('Peta CPL'!$D$19)+N(R19)*N('Peta CPL'!$C$20)*N('Peta CPL'!$D$20)+N(S19)*N('Peta CPL'!$C$21)*N('Peta CPL'!$D$21))/(N('Peta CPL'!$C$14)*N('Peta CPL'!$D$14)+N('Peta CPL'!$C$15)*N('Peta CPL'!$D$15)+N('Peta CPL'!$C$16)*N('Peta CPL'!$D$16)+N('Peta CPL'!$C$17)*N('Peta CPL'!$D$17)+N('Peta CPL'!$C$18)*N('Peta CPL'!$D$18)+N('Peta CPL'!$C$19)*N('Peta CPL'!$D$19)+N('Peta CPL'!$C$20)*N('Peta CPL'!$D$20)+N('Peta CPL'!$C$21)*N('Peta CPL'!$D$21)),""))</f>
        <v/>
      </c>
      <c r="U19" s="7">
        <f>IF(OR($B19="",'Peta CPL'!$A$6=""),"",IFERROR((N(L19)*N('Peta CPL'!$C$14)*N('Peta CPL'!$E$14)+N(M19)*N('Peta CPL'!$C$15)*N('Peta CPL'!$E$15)+N(N19)*N('Peta CPL'!$C$16)*N('Peta CPL'!$E$16)+N(O19)*N('Peta CPL'!$C$17)*N('Peta CPL'!$E$17)+N(P19)*N('Peta CPL'!$C$18)*N('Peta CPL'!$E$18)+N(Q19)*N('Peta CPL'!$C$19)*N('Peta CPL'!$E$19)+N(R19)*N('Peta CPL'!$C$20)*N('Peta CPL'!$E$20)+N(S19)*N('Peta CPL'!$C$21)*N('Peta CPL'!$E$21))/(N('Peta CPL'!$C$14)*N('Peta CPL'!$E$14)+N('Peta CPL'!$C$15)*N('Peta CPL'!$E$15)+N('Peta CPL'!$C$16)*N('Peta CPL'!$E$16)+N('Peta CPL'!$C$17)*N('Peta CPL'!$E$17)+N('Peta CPL'!$C$18)*N('Peta CPL'!$E$18)+N('Peta CPL'!$C$19)*N('Peta CPL'!$E$19)+N('Peta CPL'!$C$20)*N('Peta CPL'!$E$20)+N('Peta CPL'!$C$21)*N('Peta CPL'!$E$21)),""))</f>
        <v/>
      </c>
      <c r="V19" s="7">
        <f>IF(OR($B19="",'Peta CPL'!$A$7=""),"",IFERROR((N(L19)*N('Peta CPL'!$C$14)*N('Peta CPL'!$F$14)+N(M19)*N('Peta CPL'!$C$15)*N('Peta CPL'!$F$15)+N(N19)*N('Peta CPL'!$C$16)*N('Peta CPL'!$F$16)+N(O19)*N('Peta CPL'!$C$17)*N('Peta CPL'!$F$17)+N(P19)*N('Peta CPL'!$C$18)*N('Peta CPL'!$F$18)+N(Q19)*N('Peta CPL'!$C$19)*N('Peta CPL'!$F$19)+N(R19)*N('Peta CPL'!$C$20)*N('Peta CPL'!$F$20)+N(S19)*N('Peta CPL'!$C$21)*N('Peta CPL'!$F$21))/(N('Peta CPL'!$C$14)*N('Peta CPL'!$F$14)+N('Peta CPL'!$C$15)*N('Peta CPL'!$F$15)+N('Peta CPL'!$C$16)*N('Peta CPL'!$F$16)+N('Peta CPL'!$C$17)*N('Peta CPL'!$F$17)+N('Peta CPL'!$C$18)*N('Peta CPL'!$F$18)+N('Peta CPL'!$C$19)*N('Peta CPL'!$F$19)+N('Peta CPL'!$C$20)*N('Peta CPL'!$F$20)+N('Peta CPL'!$C$21)*N('Peta CPL'!$F$21)),""))</f>
        <v/>
      </c>
      <c r="W19" s="7">
        <f>IF(OR($B19="",'Peta CPL'!$A$8=""),"",IFERROR((N(L19)*N('Peta CPL'!$C$14)*N('Peta CPL'!$G$14)+N(M19)*N('Peta CPL'!$C$15)*N('Peta CPL'!$G$15)+N(N19)*N('Peta CPL'!$C$16)*N('Peta CPL'!$G$16)+N(O19)*N('Peta CPL'!$C$17)*N('Peta CPL'!$G$17)+N(P19)*N('Peta CPL'!$C$18)*N('Peta CPL'!$G$18)+N(Q19)*N('Peta CPL'!$C$19)*N('Peta CPL'!$G$19)+N(R19)*N('Peta CPL'!$C$20)*N('Peta CPL'!$G$20)+N(S19)*N('Peta CPL'!$C$21)*N('Peta CPL'!$G$21))/(N('Peta CPL'!$C$14)*N('Peta CPL'!$G$14)+N('Peta CPL'!$C$15)*N('Peta CPL'!$G$15)+N('Peta CPL'!$C$16)*N('Peta CPL'!$G$16)+N('Peta CPL'!$C$17)*N('Peta CPL'!$G$17)+N('Peta CPL'!$C$18)*N('Peta CPL'!$G$18)+N('Peta CPL'!$C$19)*N('Peta CPL'!$G$19)+N('Peta CPL'!$C$20)*N('Peta CPL'!$G$20)+N('Peta CPL'!$C$21)*N('Peta CPL'!$G$21)),""))</f>
        <v/>
      </c>
      <c r="X19" s="7">
        <f>IF(OR($B19="",'Peta CPL'!$A$9=""),"",IFERROR((N(L19)*N('Peta CPL'!$C$14)*N('Peta CPL'!$H$14)+N(M19)*N('Peta CPL'!$C$15)*N('Peta CPL'!$H$15)+N(N19)*N('Peta CPL'!$C$16)*N('Peta CPL'!$H$16)+N(O19)*N('Peta CPL'!$C$17)*N('Peta CPL'!$H$17)+N(P19)*N('Peta CPL'!$C$18)*N('Peta CPL'!$H$18)+N(Q19)*N('Peta CPL'!$C$19)*N('Peta CPL'!$H$19)+N(R19)*N('Peta CPL'!$C$20)*N('Peta CPL'!$H$20)+N(S19)*N('Peta CPL'!$C$21)*N('Peta CPL'!$H$21))/(N('Peta CPL'!$C$14)*N('Peta CPL'!$H$14)+N('Peta CPL'!$C$15)*N('Peta CPL'!$H$15)+N('Peta CPL'!$C$16)*N('Peta CPL'!$H$16)+N('Peta CPL'!$C$17)*N('Peta CPL'!$H$17)+N('Peta CPL'!$C$18)*N('Peta CPL'!$H$18)+N('Peta CPL'!$C$19)*N('Peta CPL'!$H$19)+N('Peta CPL'!$C$20)*N('Peta CPL'!$H$20)+N('Peta CPL'!$C$21)*N('Peta CPL'!$H$21)),""))</f>
        <v/>
      </c>
      <c r="Y19" s="7">
        <f>IF(OR($B19="",'Peta CPL'!$A$10=""),"",IFERROR((N(L19)*N('Peta CPL'!$C$14)*N('Peta CPL'!$I$14)+N(M19)*N('Peta CPL'!$C$15)*N('Peta CPL'!$I$15)+N(N19)*N('Peta CPL'!$C$16)*N('Peta CPL'!$I$16)+N(O19)*N('Peta CPL'!$C$17)*N('Peta CPL'!$I$17)+N(P19)*N('Peta CPL'!$C$18)*N('Peta CPL'!$I$18)+N(Q19)*N('Peta CPL'!$C$19)*N('Peta CPL'!$I$19)+N(R19)*N('Peta CPL'!$C$20)*N('Peta CPL'!$I$20)+N(S19)*N('Peta CPL'!$C$21)*N('Peta CPL'!$I$21))/(N('Peta CPL'!$C$14)*N('Peta CPL'!$I$14)+N('Peta CPL'!$C$15)*N('Peta CPL'!$I$15)+N('Peta CPL'!$C$16)*N('Peta CPL'!$I$16)+N('Peta CPL'!$C$17)*N('Peta CPL'!$I$17)+N('Peta CPL'!$C$18)*N('Peta CPL'!$I$18)+N('Peta CPL'!$C$19)*N('Peta CPL'!$I$19)+N('Peta CPL'!$C$20)*N('Peta CPL'!$I$20)+N('Peta CPL'!$C$21)*N('Peta CPL'!$I$21)),""))</f>
        <v/>
      </c>
      <c r="Z19" s="7">
        <f>IF($B19="","",IFERROR((N(L19)*N('Peta CPL'!$C$14)+N(M19)*N('Peta CPL'!$C$15)+N(N19)*N('Peta CPL'!$C$16)+N(O19)*N('Peta CPL'!$C$17)+N(P19)*N('Peta CPL'!$C$18)+N(Q19)*N('Peta CPL'!$C$19)+N(R19)*N('Peta CPL'!$C$20)+N(S19)*N('Peta CPL'!$C$21))/100,""))</f>
        <v/>
      </c>
    </row>
    <row r="20">
      <c r="A20" s="7">
        <f>'Input Nilai'!A20</f>
        <v/>
      </c>
      <c r="B20" s="7">
        <f>'Input Nilai'!B20</f>
        <v/>
      </c>
      <c r="C20" s="15">
        <f>'Input Nilai'!C20</f>
        <v/>
      </c>
      <c r="D20" s="7">
        <f>IF(OR('Input Nilai'!$B20="",'Bobot CPMK'!$O$4=0),"",(SUMPRODUCT('Input Nilai'!D20:L20,'Bobot CPMK'!$E$4:$M$4)+'Input Nilai'!$BX20*'Bobot CPMK'!$N$4)/'Bobot CPMK'!$O$4)</f>
        <v/>
      </c>
      <c r="E20" s="7">
        <f>IF(OR('Input Nilai'!$B20="",'Bobot CPMK'!$O$5=0),"",(SUMPRODUCT('Input Nilai'!M20:U20,'Bobot CPMK'!$E$5:$M$5)+'Input Nilai'!$BX20*'Bobot CPMK'!$N$5)/'Bobot CPMK'!$O$5)</f>
        <v/>
      </c>
      <c r="F20" s="7">
        <f>IF(OR('Input Nilai'!$B20="",'Bobot CPMK'!$O$6=0),"",(SUMPRODUCT('Input Nilai'!V20:AD20,'Bobot CPMK'!$E$6:$M$6)+'Input Nilai'!$BX20*'Bobot CPMK'!$N$6)/'Bobot CPMK'!$O$6)</f>
        <v/>
      </c>
      <c r="G20" s="7">
        <f>IF(OR('Input Nilai'!$B20="",'Bobot CPMK'!$O$7=0),"",(SUMPRODUCT('Input Nilai'!AE20:AM20,'Bobot CPMK'!$E$7:$M$7)+'Input Nilai'!$BX20*'Bobot CPMK'!$N$7)/'Bobot CPMK'!$O$7)</f>
        <v/>
      </c>
      <c r="H20" s="7">
        <f>IF(OR('Input Nilai'!$B20="",'Bobot CPMK'!$O$8=0),"",(SUMPRODUCT('Input Nilai'!AN20:AV20,'Bobot CPMK'!$E$8:$M$8)+'Input Nilai'!$BX20*'Bobot CPMK'!$N$8)/'Bobot CPMK'!$O$8)</f>
        <v/>
      </c>
      <c r="I20" s="7">
        <f>IF(OR('Input Nilai'!$B20="",'Bobot CPMK'!$O$9=0),"",(SUMPRODUCT('Input Nilai'!AW20:BE20,'Bobot CPMK'!$E$9:$M$9)+'Input Nilai'!$BX20*'Bobot CPMK'!$N$9)/'Bobot CPMK'!$O$9)</f>
        <v/>
      </c>
      <c r="J20" s="7">
        <f>IF(OR('Input Nilai'!$B20="",'Bobot CPMK'!$O$10=0),"",(SUMPRODUCT('Input Nilai'!BF20:BN20,'Bobot CPMK'!$E$10:$M$10)+'Input Nilai'!$BX20*'Bobot CPMK'!$N$10)/'Bobot CPMK'!$O$10)</f>
        <v/>
      </c>
      <c r="K20" s="7">
        <f>IF(OR('Input Nilai'!$B20="",'Bobot CPMK'!$O$11=0),"",(SUMPRODUCT('Input Nilai'!BO20:BW20,'Bobot CPMK'!$E$11:$M$11)+'Input Nilai'!$BX20*'Bobot CPMK'!$N$11)/'Bobot CPMK'!$O$11)</f>
        <v/>
      </c>
      <c r="L20" s="7">
        <f>IF(OR($B20="",'Peta CPL'!$A$14=""),"",IFERROR(SUM(IF('Bobot CPMK'!$B$4='Peta CPL'!$A$14,N(D20)*'Bobot CPMK'!$P$4,0),IF('Bobot CPMK'!$B$5='Peta CPL'!$A$14,N(E20)*'Bobot CPMK'!$P$5,0),IF('Bobot CPMK'!$B$6='Peta CPL'!$A$14,N(F20)*'Bobot CPMK'!$P$6,0),IF('Bobot CPMK'!$B$7='Peta CPL'!$A$14,N(G20)*'Bobot CPMK'!$P$7,0),IF('Bobot CPMK'!$B$8='Peta CPL'!$A$14,N(H20)*'Bobot CPMK'!$P$8,0),IF('Bobot CPMK'!$B$9='Peta CPL'!$A$14,N(I20)*'Bobot CPMK'!$P$9,0),IF('Bobot CPMK'!$B$10='Peta CPL'!$A$14,N(J20)*'Bobot CPMK'!$P$10,0),IF('Bobot CPMK'!$B$11='Peta CPL'!$A$14,N(K20)*'Bobot CPMK'!$P$11,0))/SUM(IF('Bobot CPMK'!$B$4='Peta CPL'!$A$14,'Bobot CPMK'!$P$4,0),IF('Bobot CPMK'!$B$5='Peta CPL'!$A$14,'Bobot CPMK'!$P$5,0),IF('Bobot CPMK'!$B$6='Peta CPL'!$A$14,'Bobot CPMK'!$P$6,0),IF('Bobot CPMK'!$B$7='Peta CPL'!$A$14,'Bobot CPMK'!$P$7,0),IF('Bobot CPMK'!$B$8='Peta CPL'!$A$14,'Bobot CPMK'!$P$8,0),IF('Bobot CPMK'!$B$9='Peta CPL'!$A$14,'Bobot CPMK'!$P$9,0),IF('Bobot CPMK'!$B$10='Peta CPL'!$A$14,'Bobot CPMK'!$P$10,0),IF('Bobot CPMK'!$B$11='Peta CPL'!$A$14,'Bobot CPMK'!$P$11,0)),""))</f>
        <v/>
      </c>
      <c r="M20" s="7">
        <f>IF(OR($B20="",'Peta CPL'!$A$15=""),"",IFERROR(SUM(IF('Bobot CPMK'!$B$4='Peta CPL'!$A$15,N(D20)*'Bobot CPMK'!$P$4,0),IF('Bobot CPMK'!$B$5='Peta CPL'!$A$15,N(E20)*'Bobot CPMK'!$P$5,0),IF('Bobot CPMK'!$B$6='Peta CPL'!$A$15,N(F20)*'Bobot CPMK'!$P$6,0),IF('Bobot CPMK'!$B$7='Peta CPL'!$A$15,N(G20)*'Bobot CPMK'!$P$7,0),IF('Bobot CPMK'!$B$8='Peta CPL'!$A$15,N(H20)*'Bobot CPMK'!$P$8,0),IF('Bobot CPMK'!$B$9='Peta CPL'!$A$15,N(I20)*'Bobot CPMK'!$P$9,0),IF('Bobot CPMK'!$B$10='Peta CPL'!$A$15,N(J20)*'Bobot CPMK'!$P$10,0),IF('Bobot CPMK'!$B$11='Peta CPL'!$A$15,N(K20)*'Bobot CPMK'!$P$11,0))/SUM(IF('Bobot CPMK'!$B$4='Peta CPL'!$A$15,'Bobot CPMK'!$P$4,0),IF('Bobot CPMK'!$B$5='Peta CPL'!$A$15,'Bobot CPMK'!$P$5,0),IF('Bobot CPMK'!$B$6='Peta CPL'!$A$15,'Bobot CPMK'!$P$6,0),IF('Bobot CPMK'!$B$7='Peta CPL'!$A$15,'Bobot CPMK'!$P$7,0),IF('Bobot CPMK'!$B$8='Peta CPL'!$A$15,'Bobot CPMK'!$P$8,0),IF('Bobot CPMK'!$B$9='Peta CPL'!$A$15,'Bobot CPMK'!$P$9,0),IF('Bobot CPMK'!$B$10='Peta CPL'!$A$15,'Bobot CPMK'!$P$10,0),IF('Bobot CPMK'!$B$11='Peta CPL'!$A$15,'Bobot CPMK'!$P$11,0)),""))</f>
        <v/>
      </c>
      <c r="N20" s="7">
        <f>IF(OR($B20="",'Peta CPL'!$A$16=""),"",IFERROR(SUM(IF('Bobot CPMK'!$B$4='Peta CPL'!$A$16,N(D20)*'Bobot CPMK'!$P$4,0),IF('Bobot CPMK'!$B$5='Peta CPL'!$A$16,N(E20)*'Bobot CPMK'!$P$5,0),IF('Bobot CPMK'!$B$6='Peta CPL'!$A$16,N(F20)*'Bobot CPMK'!$P$6,0),IF('Bobot CPMK'!$B$7='Peta CPL'!$A$16,N(G20)*'Bobot CPMK'!$P$7,0),IF('Bobot CPMK'!$B$8='Peta CPL'!$A$16,N(H20)*'Bobot CPMK'!$P$8,0),IF('Bobot CPMK'!$B$9='Peta CPL'!$A$16,N(I20)*'Bobot CPMK'!$P$9,0),IF('Bobot CPMK'!$B$10='Peta CPL'!$A$16,N(J20)*'Bobot CPMK'!$P$10,0),IF('Bobot CPMK'!$B$11='Peta CPL'!$A$16,N(K20)*'Bobot CPMK'!$P$11,0))/SUM(IF('Bobot CPMK'!$B$4='Peta CPL'!$A$16,'Bobot CPMK'!$P$4,0),IF('Bobot CPMK'!$B$5='Peta CPL'!$A$16,'Bobot CPMK'!$P$5,0),IF('Bobot CPMK'!$B$6='Peta CPL'!$A$16,'Bobot CPMK'!$P$6,0),IF('Bobot CPMK'!$B$7='Peta CPL'!$A$16,'Bobot CPMK'!$P$7,0),IF('Bobot CPMK'!$B$8='Peta CPL'!$A$16,'Bobot CPMK'!$P$8,0),IF('Bobot CPMK'!$B$9='Peta CPL'!$A$16,'Bobot CPMK'!$P$9,0),IF('Bobot CPMK'!$B$10='Peta CPL'!$A$16,'Bobot CPMK'!$P$10,0),IF('Bobot CPMK'!$B$11='Peta CPL'!$A$16,'Bobot CPMK'!$P$11,0)),""))</f>
        <v/>
      </c>
      <c r="O20" s="7">
        <f>IF(OR($B20="",'Peta CPL'!$A$17=""),"",IFERROR(SUM(IF('Bobot CPMK'!$B$4='Peta CPL'!$A$17,N(D20)*'Bobot CPMK'!$P$4,0),IF('Bobot CPMK'!$B$5='Peta CPL'!$A$17,N(E20)*'Bobot CPMK'!$P$5,0),IF('Bobot CPMK'!$B$6='Peta CPL'!$A$17,N(F20)*'Bobot CPMK'!$P$6,0),IF('Bobot CPMK'!$B$7='Peta CPL'!$A$17,N(G20)*'Bobot CPMK'!$P$7,0),IF('Bobot CPMK'!$B$8='Peta CPL'!$A$17,N(H20)*'Bobot CPMK'!$P$8,0),IF('Bobot CPMK'!$B$9='Peta CPL'!$A$17,N(I20)*'Bobot CPMK'!$P$9,0),IF('Bobot CPMK'!$B$10='Peta CPL'!$A$17,N(J20)*'Bobot CPMK'!$P$10,0),IF('Bobot CPMK'!$B$11='Peta CPL'!$A$17,N(K20)*'Bobot CPMK'!$P$11,0))/SUM(IF('Bobot CPMK'!$B$4='Peta CPL'!$A$17,'Bobot CPMK'!$P$4,0),IF('Bobot CPMK'!$B$5='Peta CPL'!$A$17,'Bobot CPMK'!$P$5,0),IF('Bobot CPMK'!$B$6='Peta CPL'!$A$17,'Bobot CPMK'!$P$6,0),IF('Bobot CPMK'!$B$7='Peta CPL'!$A$17,'Bobot CPMK'!$P$7,0),IF('Bobot CPMK'!$B$8='Peta CPL'!$A$17,'Bobot CPMK'!$P$8,0),IF('Bobot CPMK'!$B$9='Peta CPL'!$A$17,'Bobot CPMK'!$P$9,0),IF('Bobot CPMK'!$B$10='Peta CPL'!$A$17,'Bobot CPMK'!$P$10,0),IF('Bobot CPMK'!$B$11='Peta CPL'!$A$17,'Bobot CPMK'!$P$11,0)),""))</f>
        <v/>
      </c>
      <c r="P20" s="7">
        <f>IF(OR($B20="",'Peta CPL'!$A$18=""),"",IFERROR(SUM(IF('Bobot CPMK'!$B$4='Peta CPL'!$A$18,N(D20)*'Bobot CPMK'!$P$4,0),IF('Bobot CPMK'!$B$5='Peta CPL'!$A$18,N(E20)*'Bobot CPMK'!$P$5,0),IF('Bobot CPMK'!$B$6='Peta CPL'!$A$18,N(F20)*'Bobot CPMK'!$P$6,0),IF('Bobot CPMK'!$B$7='Peta CPL'!$A$18,N(G20)*'Bobot CPMK'!$P$7,0),IF('Bobot CPMK'!$B$8='Peta CPL'!$A$18,N(H20)*'Bobot CPMK'!$P$8,0),IF('Bobot CPMK'!$B$9='Peta CPL'!$A$18,N(I20)*'Bobot CPMK'!$P$9,0),IF('Bobot CPMK'!$B$10='Peta CPL'!$A$18,N(J20)*'Bobot CPMK'!$P$10,0),IF('Bobot CPMK'!$B$11='Peta CPL'!$A$18,N(K20)*'Bobot CPMK'!$P$11,0))/SUM(IF('Bobot CPMK'!$B$4='Peta CPL'!$A$18,'Bobot CPMK'!$P$4,0),IF('Bobot CPMK'!$B$5='Peta CPL'!$A$18,'Bobot CPMK'!$P$5,0),IF('Bobot CPMK'!$B$6='Peta CPL'!$A$18,'Bobot CPMK'!$P$6,0),IF('Bobot CPMK'!$B$7='Peta CPL'!$A$18,'Bobot CPMK'!$P$7,0),IF('Bobot CPMK'!$B$8='Peta CPL'!$A$18,'Bobot CPMK'!$P$8,0),IF('Bobot CPMK'!$B$9='Peta CPL'!$A$18,'Bobot CPMK'!$P$9,0),IF('Bobot CPMK'!$B$10='Peta CPL'!$A$18,'Bobot CPMK'!$P$10,0),IF('Bobot CPMK'!$B$11='Peta CPL'!$A$18,'Bobot CPMK'!$P$11,0)),""))</f>
        <v/>
      </c>
      <c r="Q20" s="7">
        <f>IF(OR($B20="",'Peta CPL'!$A$19=""),"",IFERROR(SUM(IF('Bobot CPMK'!$B$4='Peta CPL'!$A$19,N(D20)*'Bobot CPMK'!$P$4,0),IF('Bobot CPMK'!$B$5='Peta CPL'!$A$19,N(E20)*'Bobot CPMK'!$P$5,0),IF('Bobot CPMK'!$B$6='Peta CPL'!$A$19,N(F20)*'Bobot CPMK'!$P$6,0),IF('Bobot CPMK'!$B$7='Peta CPL'!$A$19,N(G20)*'Bobot CPMK'!$P$7,0),IF('Bobot CPMK'!$B$8='Peta CPL'!$A$19,N(H20)*'Bobot CPMK'!$P$8,0),IF('Bobot CPMK'!$B$9='Peta CPL'!$A$19,N(I20)*'Bobot CPMK'!$P$9,0),IF('Bobot CPMK'!$B$10='Peta CPL'!$A$19,N(J20)*'Bobot CPMK'!$P$10,0),IF('Bobot CPMK'!$B$11='Peta CPL'!$A$19,N(K20)*'Bobot CPMK'!$P$11,0))/SUM(IF('Bobot CPMK'!$B$4='Peta CPL'!$A$19,'Bobot CPMK'!$P$4,0),IF('Bobot CPMK'!$B$5='Peta CPL'!$A$19,'Bobot CPMK'!$P$5,0),IF('Bobot CPMK'!$B$6='Peta CPL'!$A$19,'Bobot CPMK'!$P$6,0),IF('Bobot CPMK'!$B$7='Peta CPL'!$A$19,'Bobot CPMK'!$P$7,0),IF('Bobot CPMK'!$B$8='Peta CPL'!$A$19,'Bobot CPMK'!$P$8,0),IF('Bobot CPMK'!$B$9='Peta CPL'!$A$19,'Bobot CPMK'!$P$9,0),IF('Bobot CPMK'!$B$10='Peta CPL'!$A$19,'Bobot CPMK'!$P$10,0),IF('Bobot CPMK'!$B$11='Peta CPL'!$A$19,'Bobot CPMK'!$P$11,0)),""))</f>
        <v/>
      </c>
      <c r="R20" s="7">
        <f>IF(OR($B20="",'Peta CPL'!$A$20=""),"",IFERROR(SUM(IF('Bobot CPMK'!$B$4='Peta CPL'!$A$20,N(D20)*'Bobot CPMK'!$P$4,0),IF('Bobot CPMK'!$B$5='Peta CPL'!$A$20,N(E20)*'Bobot CPMK'!$P$5,0),IF('Bobot CPMK'!$B$6='Peta CPL'!$A$20,N(F20)*'Bobot CPMK'!$P$6,0),IF('Bobot CPMK'!$B$7='Peta CPL'!$A$20,N(G20)*'Bobot CPMK'!$P$7,0),IF('Bobot CPMK'!$B$8='Peta CPL'!$A$20,N(H20)*'Bobot CPMK'!$P$8,0),IF('Bobot CPMK'!$B$9='Peta CPL'!$A$20,N(I20)*'Bobot CPMK'!$P$9,0),IF('Bobot CPMK'!$B$10='Peta CPL'!$A$20,N(J20)*'Bobot CPMK'!$P$10,0),IF('Bobot CPMK'!$B$11='Peta CPL'!$A$20,N(K20)*'Bobot CPMK'!$P$11,0))/SUM(IF('Bobot CPMK'!$B$4='Peta CPL'!$A$20,'Bobot CPMK'!$P$4,0),IF('Bobot CPMK'!$B$5='Peta CPL'!$A$20,'Bobot CPMK'!$P$5,0),IF('Bobot CPMK'!$B$6='Peta CPL'!$A$20,'Bobot CPMK'!$P$6,0),IF('Bobot CPMK'!$B$7='Peta CPL'!$A$20,'Bobot CPMK'!$P$7,0),IF('Bobot CPMK'!$B$8='Peta CPL'!$A$20,'Bobot CPMK'!$P$8,0),IF('Bobot CPMK'!$B$9='Peta CPL'!$A$20,'Bobot CPMK'!$P$9,0),IF('Bobot CPMK'!$B$10='Peta CPL'!$A$20,'Bobot CPMK'!$P$10,0),IF('Bobot CPMK'!$B$11='Peta CPL'!$A$20,'Bobot CPMK'!$P$11,0)),""))</f>
        <v/>
      </c>
      <c r="S20" s="7">
        <f>IF(OR($B20="",'Peta CPL'!$A$21=""),"",IFERROR(SUM(IF('Bobot CPMK'!$B$4='Peta CPL'!$A$21,N(D20)*'Bobot CPMK'!$P$4,0),IF('Bobot CPMK'!$B$5='Peta CPL'!$A$21,N(E20)*'Bobot CPMK'!$P$5,0),IF('Bobot CPMK'!$B$6='Peta CPL'!$A$21,N(F20)*'Bobot CPMK'!$P$6,0),IF('Bobot CPMK'!$B$7='Peta CPL'!$A$21,N(G20)*'Bobot CPMK'!$P$7,0),IF('Bobot CPMK'!$B$8='Peta CPL'!$A$21,N(H20)*'Bobot CPMK'!$P$8,0),IF('Bobot CPMK'!$B$9='Peta CPL'!$A$21,N(I20)*'Bobot CPMK'!$P$9,0),IF('Bobot CPMK'!$B$10='Peta CPL'!$A$21,N(J20)*'Bobot CPMK'!$P$10,0),IF('Bobot CPMK'!$B$11='Peta CPL'!$A$21,N(K20)*'Bobot CPMK'!$P$11,0))/SUM(IF('Bobot CPMK'!$B$4='Peta CPL'!$A$21,'Bobot CPMK'!$P$4,0),IF('Bobot CPMK'!$B$5='Peta CPL'!$A$21,'Bobot CPMK'!$P$5,0),IF('Bobot CPMK'!$B$6='Peta CPL'!$A$21,'Bobot CPMK'!$P$6,0),IF('Bobot CPMK'!$B$7='Peta CPL'!$A$21,'Bobot CPMK'!$P$7,0),IF('Bobot CPMK'!$B$8='Peta CPL'!$A$21,'Bobot CPMK'!$P$8,0),IF('Bobot CPMK'!$B$9='Peta CPL'!$A$21,'Bobot CPMK'!$P$9,0),IF('Bobot CPMK'!$B$10='Peta CPL'!$A$21,'Bobot CPMK'!$P$10,0),IF('Bobot CPMK'!$B$11='Peta CPL'!$A$21,'Bobot CPMK'!$P$11,0)),""))</f>
        <v/>
      </c>
      <c r="T20" s="7">
        <f>IF(OR($B20="",'Peta CPL'!$A$5=""),"",IFERROR((N(L20)*N('Peta CPL'!$C$14)*N('Peta CPL'!$D$14)+N(M20)*N('Peta CPL'!$C$15)*N('Peta CPL'!$D$15)+N(N20)*N('Peta CPL'!$C$16)*N('Peta CPL'!$D$16)+N(O20)*N('Peta CPL'!$C$17)*N('Peta CPL'!$D$17)+N(P20)*N('Peta CPL'!$C$18)*N('Peta CPL'!$D$18)+N(Q20)*N('Peta CPL'!$C$19)*N('Peta CPL'!$D$19)+N(R20)*N('Peta CPL'!$C$20)*N('Peta CPL'!$D$20)+N(S20)*N('Peta CPL'!$C$21)*N('Peta CPL'!$D$21))/(N('Peta CPL'!$C$14)*N('Peta CPL'!$D$14)+N('Peta CPL'!$C$15)*N('Peta CPL'!$D$15)+N('Peta CPL'!$C$16)*N('Peta CPL'!$D$16)+N('Peta CPL'!$C$17)*N('Peta CPL'!$D$17)+N('Peta CPL'!$C$18)*N('Peta CPL'!$D$18)+N('Peta CPL'!$C$19)*N('Peta CPL'!$D$19)+N('Peta CPL'!$C$20)*N('Peta CPL'!$D$20)+N('Peta CPL'!$C$21)*N('Peta CPL'!$D$21)),""))</f>
        <v/>
      </c>
      <c r="U20" s="7">
        <f>IF(OR($B20="",'Peta CPL'!$A$6=""),"",IFERROR((N(L20)*N('Peta CPL'!$C$14)*N('Peta CPL'!$E$14)+N(M20)*N('Peta CPL'!$C$15)*N('Peta CPL'!$E$15)+N(N20)*N('Peta CPL'!$C$16)*N('Peta CPL'!$E$16)+N(O20)*N('Peta CPL'!$C$17)*N('Peta CPL'!$E$17)+N(P20)*N('Peta CPL'!$C$18)*N('Peta CPL'!$E$18)+N(Q20)*N('Peta CPL'!$C$19)*N('Peta CPL'!$E$19)+N(R20)*N('Peta CPL'!$C$20)*N('Peta CPL'!$E$20)+N(S20)*N('Peta CPL'!$C$21)*N('Peta CPL'!$E$21))/(N('Peta CPL'!$C$14)*N('Peta CPL'!$E$14)+N('Peta CPL'!$C$15)*N('Peta CPL'!$E$15)+N('Peta CPL'!$C$16)*N('Peta CPL'!$E$16)+N('Peta CPL'!$C$17)*N('Peta CPL'!$E$17)+N('Peta CPL'!$C$18)*N('Peta CPL'!$E$18)+N('Peta CPL'!$C$19)*N('Peta CPL'!$E$19)+N('Peta CPL'!$C$20)*N('Peta CPL'!$E$20)+N('Peta CPL'!$C$21)*N('Peta CPL'!$E$21)),""))</f>
        <v/>
      </c>
      <c r="V20" s="7">
        <f>IF(OR($B20="",'Peta CPL'!$A$7=""),"",IFERROR((N(L20)*N('Peta CPL'!$C$14)*N('Peta CPL'!$F$14)+N(M20)*N('Peta CPL'!$C$15)*N('Peta CPL'!$F$15)+N(N20)*N('Peta CPL'!$C$16)*N('Peta CPL'!$F$16)+N(O20)*N('Peta CPL'!$C$17)*N('Peta CPL'!$F$17)+N(P20)*N('Peta CPL'!$C$18)*N('Peta CPL'!$F$18)+N(Q20)*N('Peta CPL'!$C$19)*N('Peta CPL'!$F$19)+N(R20)*N('Peta CPL'!$C$20)*N('Peta CPL'!$F$20)+N(S20)*N('Peta CPL'!$C$21)*N('Peta CPL'!$F$21))/(N('Peta CPL'!$C$14)*N('Peta CPL'!$F$14)+N('Peta CPL'!$C$15)*N('Peta CPL'!$F$15)+N('Peta CPL'!$C$16)*N('Peta CPL'!$F$16)+N('Peta CPL'!$C$17)*N('Peta CPL'!$F$17)+N('Peta CPL'!$C$18)*N('Peta CPL'!$F$18)+N('Peta CPL'!$C$19)*N('Peta CPL'!$F$19)+N('Peta CPL'!$C$20)*N('Peta CPL'!$F$20)+N('Peta CPL'!$C$21)*N('Peta CPL'!$F$21)),""))</f>
        <v/>
      </c>
      <c r="W20" s="7">
        <f>IF(OR($B20="",'Peta CPL'!$A$8=""),"",IFERROR((N(L20)*N('Peta CPL'!$C$14)*N('Peta CPL'!$G$14)+N(M20)*N('Peta CPL'!$C$15)*N('Peta CPL'!$G$15)+N(N20)*N('Peta CPL'!$C$16)*N('Peta CPL'!$G$16)+N(O20)*N('Peta CPL'!$C$17)*N('Peta CPL'!$G$17)+N(P20)*N('Peta CPL'!$C$18)*N('Peta CPL'!$G$18)+N(Q20)*N('Peta CPL'!$C$19)*N('Peta CPL'!$G$19)+N(R20)*N('Peta CPL'!$C$20)*N('Peta CPL'!$G$20)+N(S20)*N('Peta CPL'!$C$21)*N('Peta CPL'!$G$21))/(N('Peta CPL'!$C$14)*N('Peta CPL'!$G$14)+N('Peta CPL'!$C$15)*N('Peta CPL'!$G$15)+N('Peta CPL'!$C$16)*N('Peta CPL'!$G$16)+N('Peta CPL'!$C$17)*N('Peta CPL'!$G$17)+N('Peta CPL'!$C$18)*N('Peta CPL'!$G$18)+N('Peta CPL'!$C$19)*N('Peta CPL'!$G$19)+N('Peta CPL'!$C$20)*N('Peta CPL'!$G$20)+N('Peta CPL'!$C$21)*N('Peta CPL'!$G$21)),""))</f>
        <v/>
      </c>
      <c r="X20" s="7">
        <f>IF(OR($B20="",'Peta CPL'!$A$9=""),"",IFERROR((N(L20)*N('Peta CPL'!$C$14)*N('Peta CPL'!$H$14)+N(M20)*N('Peta CPL'!$C$15)*N('Peta CPL'!$H$15)+N(N20)*N('Peta CPL'!$C$16)*N('Peta CPL'!$H$16)+N(O20)*N('Peta CPL'!$C$17)*N('Peta CPL'!$H$17)+N(P20)*N('Peta CPL'!$C$18)*N('Peta CPL'!$H$18)+N(Q20)*N('Peta CPL'!$C$19)*N('Peta CPL'!$H$19)+N(R20)*N('Peta CPL'!$C$20)*N('Peta CPL'!$H$20)+N(S20)*N('Peta CPL'!$C$21)*N('Peta CPL'!$H$21))/(N('Peta CPL'!$C$14)*N('Peta CPL'!$H$14)+N('Peta CPL'!$C$15)*N('Peta CPL'!$H$15)+N('Peta CPL'!$C$16)*N('Peta CPL'!$H$16)+N('Peta CPL'!$C$17)*N('Peta CPL'!$H$17)+N('Peta CPL'!$C$18)*N('Peta CPL'!$H$18)+N('Peta CPL'!$C$19)*N('Peta CPL'!$H$19)+N('Peta CPL'!$C$20)*N('Peta CPL'!$H$20)+N('Peta CPL'!$C$21)*N('Peta CPL'!$H$21)),""))</f>
        <v/>
      </c>
      <c r="Y20" s="7">
        <f>IF(OR($B20="",'Peta CPL'!$A$10=""),"",IFERROR((N(L20)*N('Peta CPL'!$C$14)*N('Peta CPL'!$I$14)+N(M20)*N('Peta CPL'!$C$15)*N('Peta CPL'!$I$15)+N(N20)*N('Peta CPL'!$C$16)*N('Peta CPL'!$I$16)+N(O20)*N('Peta CPL'!$C$17)*N('Peta CPL'!$I$17)+N(P20)*N('Peta CPL'!$C$18)*N('Peta CPL'!$I$18)+N(Q20)*N('Peta CPL'!$C$19)*N('Peta CPL'!$I$19)+N(R20)*N('Peta CPL'!$C$20)*N('Peta CPL'!$I$20)+N(S20)*N('Peta CPL'!$C$21)*N('Peta CPL'!$I$21))/(N('Peta CPL'!$C$14)*N('Peta CPL'!$I$14)+N('Peta CPL'!$C$15)*N('Peta CPL'!$I$15)+N('Peta CPL'!$C$16)*N('Peta CPL'!$I$16)+N('Peta CPL'!$C$17)*N('Peta CPL'!$I$17)+N('Peta CPL'!$C$18)*N('Peta CPL'!$I$18)+N('Peta CPL'!$C$19)*N('Peta CPL'!$I$19)+N('Peta CPL'!$C$20)*N('Peta CPL'!$I$20)+N('Peta CPL'!$C$21)*N('Peta CPL'!$I$21)),""))</f>
        <v/>
      </c>
      <c r="Z20" s="7">
        <f>IF($B20="","",IFERROR((N(L20)*N('Peta CPL'!$C$14)+N(M20)*N('Peta CPL'!$C$15)+N(N20)*N('Peta CPL'!$C$16)+N(O20)*N('Peta CPL'!$C$17)+N(P20)*N('Peta CPL'!$C$18)+N(Q20)*N('Peta CPL'!$C$19)+N(R20)*N('Peta CPL'!$C$20)+N(S20)*N('Peta CPL'!$C$21))/100,""))</f>
        <v/>
      </c>
    </row>
    <row r="21">
      <c r="A21" s="7">
        <f>'Input Nilai'!A21</f>
        <v/>
      </c>
      <c r="B21" s="7">
        <f>'Input Nilai'!B21</f>
        <v/>
      </c>
      <c r="C21" s="15">
        <f>'Input Nilai'!C21</f>
        <v/>
      </c>
      <c r="D21" s="7">
        <f>IF(OR('Input Nilai'!$B21="",'Bobot CPMK'!$O$4=0),"",(SUMPRODUCT('Input Nilai'!D21:L21,'Bobot CPMK'!$E$4:$M$4)+'Input Nilai'!$BX21*'Bobot CPMK'!$N$4)/'Bobot CPMK'!$O$4)</f>
        <v/>
      </c>
      <c r="E21" s="7">
        <f>IF(OR('Input Nilai'!$B21="",'Bobot CPMK'!$O$5=0),"",(SUMPRODUCT('Input Nilai'!M21:U21,'Bobot CPMK'!$E$5:$M$5)+'Input Nilai'!$BX21*'Bobot CPMK'!$N$5)/'Bobot CPMK'!$O$5)</f>
        <v/>
      </c>
      <c r="F21" s="7">
        <f>IF(OR('Input Nilai'!$B21="",'Bobot CPMK'!$O$6=0),"",(SUMPRODUCT('Input Nilai'!V21:AD21,'Bobot CPMK'!$E$6:$M$6)+'Input Nilai'!$BX21*'Bobot CPMK'!$N$6)/'Bobot CPMK'!$O$6)</f>
        <v/>
      </c>
      <c r="G21" s="7">
        <f>IF(OR('Input Nilai'!$B21="",'Bobot CPMK'!$O$7=0),"",(SUMPRODUCT('Input Nilai'!AE21:AM21,'Bobot CPMK'!$E$7:$M$7)+'Input Nilai'!$BX21*'Bobot CPMK'!$N$7)/'Bobot CPMK'!$O$7)</f>
        <v/>
      </c>
      <c r="H21" s="7">
        <f>IF(OR('Input Nilai'!$B21="",'Bobot CPMK'!$O$8=0),"",(SUMPRODUCT('Input Nilai'!AN21:AV21,'Bobot CPMK'!$E$8:$M$8)+'Input Nilai'!$BX21*'Bobot CPMK'!$N$8)/'Bobot CPMK'!$O$8)</f>
        <v/>
      </c>
      <c r="I21" s="7">
        <f>IF(OR('Input Nilai'!$B21="",'Bobot CPMK'!$O$9=0),"",(SUMPRODUCT('Input Nilai'!AW21:BE21,'Bobot CPMK'!$E$9:$M$9)+'Input Nilai'!$BX21*'Bobot CPMK'!$N$9)/'Bobot CPMK'!$O$9)</f>
        <v/>
      </c>
      <c r="J21" s="7">
        <f>IF(OR('Input Nilai'!$B21="",'Bobot CPMK'!$O$10=0),"",(SUMPRODUCT('Input Nilai'!BF21:BN21,'Bobot CPMK'!$E$10:$M$10)+'Input Nilai'!$BX21*'Bobot CPMK'!$N$10)/'Bobot CPMK'!$O$10)</f>
        <v/>
      </c>
      <c r="K21" s="7">
        <f>IF(OR('Input Nilai'!$B21="",'Bobot CPMK'!$O$11=0),"",(SUMPRODUCT('Input Nilai'!BO21:BW21,'Bobot CPMK'!$E$11:$M$11)+'Input Nilai'!$BX21*'Bobot CPMK'!$N$11)/'Bobot CPMK'!$O$11)</f>
        <v/>
      </c>
      <c r="L21" s="7">
        <f>IF(OR($B21="",'Peta CPL'!$A$14=""),"",IFERROR(SUM(IF('Bobot CPMK'!$B$4='Peta CPL'!$A$14,N(D21)*'Bobot CPMK'!$P$4,0),IF('Bobot CPMK'!$B$5='Peta CPL'!$A$14,N(E21)*'Bobot CPMK'!$P$5,0),IF('Bobot CPMK'!$B$6='Peta CPL'!$A$14,N(F21)*'Bobot CPMK'!$P$6,0),IF('Bobot CPMK'!$B$7='Peta CPL'!$A$14,N(G21)*'Bobot CPMK'!$P$7,0),IF('Bobot CPMK'!$B$8='Peta CPL'!$A$14,N(H21)*'Bobot CPMK'!$P$8,0),IF('Bobot CPMK'!$B$9='Peta CPL'!$A$14,N(I21)*'Bobot CPMK'!$P$9,0),IF('Bobot CPMK'!$B$10='Peta CPL'!$A$14,N(J21)*'Bobot CPMK'!$P$10,0),IF('Bobot CPMK'!$B$11='Peta CPL'!$A$14,N(K21)*'Bobot CPMK'!$P$11,0))/SUM(IF('Bobot CPMK'!$B$4='Peta CPL'!$A$14,'Bobot CPMK'!$P$4,0),IF('Bobot CPMK'!$B$5='Peta CPL'!$A$14,'Bobot CPMK'!$P$5,0),IF('Bobot CPMK'!$B$6='Peta CPL'!$A$14,'Bobot CPMK'!$P$6,0),IF('Bobot CPMK'!$B$7='Peta CPL'!$A$14,'Bobot CPMK'!$P$7,0),IF('Bobot CPMK'!$B$8='Peta CPL'!$A$14,'Bobot CPMK'!$P$8,0),IF('Bobot CPMK'!$B$9='Peta CPL'!$A$14,'Bobot CPMK'!$P$9,0),IF('Bobot CPMK'!$B$10='Peta CPL'!$A$14,'Bobot CPMK'!$P$10,0),IF('Bobot CPMK'!$B$11='Peta CPL'!$A$14,'Bobot CPMK'!$P$11,0)),""))</f>
        <v/>
      </c>
      <c r="M21" s="7">
        <f>IF(OR($B21="",'Peta CPL'!$A$15=""),"",IFERROR(SUM(IF('Bobot CPMK'!$B$4='Peta CPL'!$A$15,N(D21)*'Bobot CPMK'!$P$4,0),IF('Bobot CPMK'!$B$5='Peta CPL'!$A$15,N(E21)*'Bobot CPMK'!$P$5,0),IF('Bobot CPMK'!$B$6='Peta CPL'!$A$15,N(F21)*'Bobot CPMK'!$P$6,0),IF('Bobot CPMK'!$B$7='Peta CPL'!$A$15,N(G21)*'Bobot CPMK'!$P$7,0),IF('Bobot CPMK'!$B$8='Peta CPL'!$A$15,N(H21)*'Bobot CPMK'!$P$8,0),IF('Bobot CPMK'!$B$9='Peta CPL'!$A$15,N(I21)*'Bobot CPMK'!$P$9,0),IF('Bobot CPMK'!$B$10='Peta CPL'!$A$15,N(J21)*'Bobot CPMK'!$P$10,0),IF('Bobot CPMK'!$B$11='Peta CPL'!$A$15,N(K21)*'Bobot CPMK'!$P$11,0))/SUM(IF('Bobot CPMK'!$B$4='Peta CPL'!$A$15,'Bobot CPMK'!$P$4,0),IF('Bobot CPMK'!$B$5='Peta CPL'!$A$15,'Bobot CPMK'!$P$5,0),IF('Bobot CPMK'!$B$6='Peta CPL'!$A$15,'Bobot CPMK'!$P$6,0),IF('Bobot CPMK'!$B$7='Peta CPL'!$A$15,'Bobot CPMK'!$P$7,0),IF('Bobot CPMK'!$B$8='Peta CPL'!$A$15,'Bobot CPMK'!$P$8,0),IF('Bobot CPMK'!$B$9='Peta CPL'!$A$15,'Bobot CPMK'!$P$9,0),IF('Bobot CPMK'!$B$10='Peta CPL'!$A$15,'Bobot CPMK'!$P$10,0),IF('Bobot CPMK'!$B$11='Peta CPL'!$A$15,'Bobot CPMK'!$P$11,0)),""))</f>
        <v/>
      </c>
      <c r="N21" s="7">
        <f>IF(OR($B21="",'Peta CPL'!$A$16=""),"",IFERROR(SUM(IF('Bobot CPMK'!$B$4='Peta CPL'!$A$16,N(D21)*'Bobot CPMK'!$P$4,0),IF('Bobot CPMK'!$B$5='Peta CPL'!$A$16,N(E21)*'Bobot CPMK'!$P$5,0),IF('Bobot CPMK'!$B$6='Peta CPL'!$A$16,N(F21)*'Bobot CPMK'!$P$6,0),IF('Bobot CPMK'!$B$7='Peta CPL'!$A$16,N(G21)*'Bobot CPMK'!$P$7,0),IF('Bobot CPMK'!$B$8='Peta CPL'!$A$16,N(H21)*'Bobot CPMK'!$P$8,0),IF('Bobot CPMK'!$B$9='Peta CPL'!$A$16,N(I21)*'Bobot CPMK'!$P$9,0),IF('Bobot CPMK'!$B$10='Peta CPL'!$A$16,N(J21)*'Bobot CPMK'!$P$10,0),IF('Bobot CPMK'!$B$11='Peta CPL'!$A$16,N(K21)*'Bobot CPMK'!$P$11,0))/SUM(IF('Bobot CPMK'!$B$4='Peta CPL'!$A$16,'Bobot CPMK'!$P$4,0),IF('Bobot CPMK'!$B$5='Peta CPL'!$A$16,'Bobot CPMK'!$P$5,0),IF('Bobot CPMK'!$B$6='Peta CPL'!$A$16,'Bobot CPMK'!$P$6,0),IF('Bobot CPMK'!$B$7='Peta CPL'!$A$16,'Bobot CPMK'!$P$7,0),IF('Bobot CPMK'!$B$8='Peta CPL'!$A$16,'Bobot CPMK'!$P$8,0),IF('Bobot CPMK'!$B$9='Peta CPL'!$A$16,'Bobot CPMK'!$P$9,0),IF('Bobot CPMK'!$B$10='Peta CPL'!$A$16,'Bobot CPMK'!$P$10,0),IF('Bobot CPMK'!$B$11='Peta CPL'!$A$16,'Bobot CPMK'!$P$11,0)),""))</f>
        <v/>
      </c>
      <c r="O21" s="7">
        <f>IF(OR($B21="",'Peta CPL'!$A$17=""),"",IFERROR(SUM(IF('Bobot CPMK'!$B$4='Peta CPL'!$A$17,N(D21)*'Bobot CPMK'!$P$4,0),IF('Bobot CPMK'!$B$5='Peta CPL'!$A$17,N(E21)*'Bobot CPMK'!$P$5,0),IF('Bobot CPMK'!$B$6='Peta CPL'!$A$17,N(F21)*'Bobot CPMK'!$P$6,0),IF('Bobot CPMK'!$B$7='Peta CPL'!$A$17,N(G21)*'Bobot CPMK'!$P$7,0),IF('Bobot CPMK'!$B$8='Peta CPL'!$A$17,N(H21)*'Bobot CPMK'!$P$8,0),IF('Bobot CPMK'!$B$9='Peta CPL'!$A$17,N(I21)*'Bobot CPMK'!$P$9,0),IF('Bobot CPMK'!$B$10='Peta CPL'!$A$17,N(J21)*'Bobot CPMK'!$P$10,0),IF('Bobot CPMK'!$B$11='Peta CPL'!$A$17,N(K21)*'Bobot CPMK'!$P$11,0))/SUM(IF('Bobot CPMK'!$B$4='Peta CPL'!$A$17,'Bobot CPMK'!$P$4,0),IF('Bobot CPMK'!$B$5='Peta CPL'!$A$17,'Bobot CPMK'!$P$5,0),IF('Bobot CPMK'!$B$6='Peta CPL'!$A$17,'Bobot CPMK'!$P$6,0),IF('Bobot CPMK'!$B$7='Peta CPL'!$A$17,'Bobot CPMK'!$P$7,0),IF('Bobot CPMK'!$B$8='Peta CPL'!$A$17,'Bobot CPMK'!$P$8,0),IF('Bobot CPMK'!$B$9='Peta CPL'!$A$17,'Bobot CPMK'!$P$9,0),IF('Bobot CPMK'!$B$10='Peta CPL'!$A$17,'Bobot CPMK'!$P$10,0),IF('Bobot CPMK'!$B$11='Peta CPL'!$A$17,'Bobot CPMK'!$P$11,0)),""))</f>
        <v/>
      </c>
      <c r="P21" s="7">
        <f>IF(OR($B21="",'Peta CPL'!$A$18=""),"",IFERROR(SUM(IF('Bobot CPMK'!$B$4='Peta CPL'!$A$18,N(D21)*'Bobot CPMK'!$P$4,0),IF('Bobot CPMK'!$B$5='Peta CPL'!$A$18,N(E21)*'Bobot CPMK'!$P$5,0),IF('Bobot CPMK'!$B$6='Peta CPL'!$A$18,N(F21)*'Bobot CPMK'!$P$6,0),IF('Bobot CPMK'!$B$7='Peta CPL'!$A$18,N(G21)*'Bobot CPMK'!$P$7,0),IF('Bobot CPMK'!$B$8='Peta CPL'!$A$18,N(H21)*'Bobot CPMK'!$P$8,0),IF('Bobot CPMK'!$B$9='Peta CPL'!$A$18,N(I21)*'Bobot CPMK'!$P$9,0),IF('Bobot CPMK'!$B$10='Peta CPL'!$A$18,N(J21)*'Bobot CPMK'!$P$10,0),IF('Bobot CPMK'!$B$11='Peta CPL'!$A$18,N(K21)*'Bobot CPMK'!$P$11,0))/SUM(IF('Bobot CPMK'!$B$4='Peta CPL'!$A$18,'Bobot CPMK'!$P$4,0),IF('Bobot CPMK'!$B$5='Peta CPL'!$A$18,'Bobot CPMK'!$P$5,0),IF('Bobot CPMK'!$B$6='Peta CPL'!$A$18,'Bobot CPMK'!$P$6,0),IF('Bobot CPMK'!$B$7='Peta CPL'!$A$18,'Bobot CPMK'!$P$7,0),IF('Bobot CPMK'!$B$8='Peta CPL'!$A$18,'Bobot CPMK'!$P$8,0),IF('Bobot CPMK'!$B$9='Peta CPL'!$A$18,'Bobot CPMK'!$P$9,0),IF('Bobot CPMK'!$B$10='Peta CPL'!$A$18,'Bobot CPMK'!$P$10,0),IF('Bobot CPMK'!$B$11='Peta CPL'!$A$18,'Bobot CPMK'!$P$11,0)),""))</f>
        <v/>
      </c>
      <c r="Q21" s="7">
        <f>IF(OR($B21="",'Peta CPL'!$A$19=""),"",IFERROR(SUM(IF('Bobot CPMK'!$B$4='Peta CPL'!$A$19,N(D21)*'Bobot CPMK'!$P$4,0),IF('Bobot CPMK'!$B$5='Peta CPL'!$A$19,N(E21)*'Bobot CPMK'!$P$5,0),IF('Bobot CPMK'!$B$6='Peta CPL'!$A$19,N(F21)*'Bobot CPMK'!$P$6,0),IF('Bobot CPMK'!$B$7='Peta CPL'!$A$19,N(G21)*'Bobot CPMK'!$P$7,0),IF('Bobot CPMK'!$B$8='Peta CPL'!$A$19,N(H21)*'Bobot CPMK'!$P$8,0),IF('Bobot CPMK'!$B$9='Peta CPL'!$A$19,N(I21)*'Bobot CPMK'!$P$9,0),IF('Bobot CPMK'!$B$10='Peta CPL'!$A$19,N(J21)*'Bobot CPMK'!$P$10,0),IF('Bobot CPMK'!$B$11='Peta CPL'!$A$19,N(K21)*'Bobot CPMK'!$P$11,0))/SUM(IF('Bobot CPMK'!$B$4='Peta CPL'!$A$19,'Bobot CPMK'!$P$4,0),IF('Bobot CPMK'!$B$5='Peta CPL'!$A$19,'Bobot CPMK'!$P$5,0),IF('Bobot CPMK'!$B$6='Peta CPL'!$A$19,'Bobot CPMK'!$P$6,0),IF('Bobot CPMK'!$B$7='Peta CPL'!$A$19,'Bobot CPMK'!$P$7,0),IF('Bobot CPMK'!$B$8='Peta CPL'!$A$19,'Bobot CPMK'!$P$8,0),IF('Bobot CPMK'!$B$9='Peta CPL'!$A$19,'Bobot CPMK'!$P$9,0),IF('Bobot CPMK'!$B$10='Peta CPL'!$A$19,'Bobot CPMK'!$P$10,0),IF('Bobot CPMK'!$B$11='Peta CPL'!$A$19,'Bobot CPMK'!$P$11,0)),""))</f>
        <v/>
      </c>
      <c r="R21" s="7">
        <f>IF(OR($B21="",'Peta CPL'!$A$20=""),"",IFERROR(SUM(IF('Bobot CPMK'!$B$4='Peta CPL'!$A$20,N(D21)*'Bobot CPMK'!$P$4,0),IF('Bobot CPMK'!$B$5='Peta CPL'!$A$20,N(E21)*'Bobot CPMK'!$P$5,0),IF('Bobot CPMK'!$B$6='Peta CPL'!$A$20,N(F21)*'Bobot CPMK'!$P$6,0),IF('Bobot CPMK'!$B$7='Peta CPL'!$A$20,N(G21)*'Bobot CPMK'!$P$7,0),IF('Bobot CPMK'!$B$8='Peta CPL'!$A$20,N(H21)*'Bobot CPMK'!$P$8,0),IF('Bobot CPMK'!$B$9='Peta CPL'!$A$20,N(I21)*'Bobot CPMK'!$P$9,0),IF('Bobot CPMK'!$B$10='Peta CPL'!$A$20,N(J21)*'Bobot CPMK'!$P$10,0),IF('Bobot CPMK'!$B$11='Peta CPL'!$A$20,N(K21)*'Bobot CPMK'!$P$11,0))/SUM(IF('Bobot CPMK'!$B$4='Peta CPL'!$A$20,'Bobot CPMK'!$P$4,0),IF('Bobot CPMK'!$B$5='Peta CPL'!$A$20,'Bobot CPMK'!$P$5,0),IF('Bobot CPMK'!$B$6='Peta CPL'!$A$20,'Bobot CPMK'!$P$6,0),IF('Bobot CPMK'!$B$7='Peta CPL'!$A$20,'Bobot CPMK'!$P$7,0),IF('Bobot CPMK'!$B$8='Peta CPL'!$A$20,'Bobot CPMK'!$P$8,0),IF('Bobot CPMK'!$B$9='Peta CPL'!$A$20,'Bobot CPMK'!$P$9,0),IF('Bobot CPMK'!$B$10='Peta CPL'!$A$20,'Bobot CPMK'!$P$10,0),IF('Bobot CPMK'!$B$11='Peta CPL'!$A$20,'Bobot CPMK'!$P$11,0)),""))</f>
        <v/>
      </c>
      <c r="S21" s="7">
        <f>IF(OR($B21="",'Peta CPL'!$A$21=""),"",IFERROR(SUM(IF('Bobot CPMK'!$B$4='Peta CPL'!$A$21,N(D21)*'Bobot CPMK'!$P$4,0),IF('Bobot CPMK'!$B$5='Peta CPL'!$A$21,N(E21)*'Bobot CPMK'!$P$5,0),IF('Bobot CPMK'!$B$6='Peta CPL'!$A$21,N(F21)*'Bobot CPMK'!$P$6,0),IF('Bobot CPMK'!$B$7='Peta CPL'!$A$21,N(G21)*'Bobot CPMK'!$P$7,0),IF('Bobot CPMK'!$B$8='Peta CPL'!$A$21,N(H21)*'Bobot CPMK'!$P$8,0),IF('Bobot CPMK'!$B$9='Peta CPL'!$A$21,N(I21)*'Bobot CPMK'!$P$9,0),IF('Bobot CPMK'!$B$10='Peta CPL'!$A$21,N(J21)*'Bobot CPMK'!$P$10,0),IF('Bobot CPMK'!$B$11='Peta CPL'!$A$21,N(K21)*'Bobot CPMK'!$P$11,0))/SUM(IF('Bobot CPMK'!$B$4='Peta CPL'!$A$21,'Bobot CPMK'!$P$4,0),IF('Bobot CPMK'!$B$5='Peta CPL'!$A$21,'Bobot CPMK'!$P$5,0),IF('Bobot CPMK'!$B$6='Peta CPL'!$A$21,'Bobot CPMK'!$P$6,0),IF('Bobot CPMK'!$B$7='Peta CPL'!$A$21,'Bobot CPMK'!$P$7,0),IF('Bobot CPMK'!$B$8='Peta CPL'!$A$21,'Bobot CPMK'!$P$8,0),IF('Bobot CPMK'!$B$9='Peta CPL'!$A$21,'Bobot CPMK'!$P$9,0),IF('Bobot CPMK'!$B$10='Peta CPL'!$A$21,'Bobot CPMK'!$P$10,0),IF('Bobot CPMK'!$B$11='Peta CPL'!$A$21,'Bobot CPMK'!$P$11,0)),""))</f>
        <v/>
      </c>
      <c r="T21" s="7">
        <f>IF(OR($B21="",'Peta CPL'!$A$5=""),"",IFERROR((N(L21)*N('Peta CPL'!$C$14)*N('Peta CPL'!$D$14)+N(M21)*N('Peta CPL'!$C$15)*N('Peta CPL'!$D$15)+N(N21)*N('Peta CPL'!$C$16)*N('Peta CPL'!$D$16)+N(O21)*N('Peta CPL'!$C$17)*N('Peta CPL'!$D$17)+N(P21)*N('Peta CPL'!$C$18)*N('Peta CPL'!$D$18)+N(Q21)*N('Peta CPL'!$C$19)*N('Peta CPL'!$D$19)+N(R21)*N('Peta CPL'!$C$20)*N('Peta CPL'!$D$20)+N(S21)*N('Peta CPL'!$C$21)*N('Peta CPL'!$D$21))/(N('Peta CPL'!$C$14)*N('Peta CPL'!$D$14)+N('Peta CPL'!$C$15)*N('Peta CPL'!$D$15)+N('Peta CPL'!$C$16)*N('Peta CPL'!$D$16)+N('Peta CPL'!$C$17)*N('Peta CPL'!$D$17)+N('Peta CPL'!$C$18)*N('Peta CPL'!$D$18)+N('Peta CPL'!$C$19)*N('Peta CPL'!$D$19)+N('Peta CPL'!$C$20)*N('Peta CPL'!$D$20)+N('Peta CPL'!$C$21)*N('Peta CPL'!$D$21)),""))</f>
        <v/>
      </c>
      <c r="U21" s="7">
        <f>IF(OR($B21="",'Peta CPL'!$A$6=""),"",IFERROR((N(L21)*N('Peta CPL'!$C$14)*N('Peta CPL'!$E$14)+N(M21)*N('Peta CPL'!$C$15)*N('Peta CPL'!$E$15)+N(N21)*N('Peta CPL'!$C$16)*N('Peta CPL'!$E$16)+N(O21)*N('Peta CPL'!$C$17)*N('Peta CPL'!$E$17)+N(P21)*N('Peta CPL'!$C$18)*N('Peta CPL'!$E$18)+N(Q21)*N('Peta CPL'!$C$19)*N('Peta CPL'!$E$19)+N(R21)*N('Peta CPL'!$C$20)*N('Peta CPL'!$E$20)+N(S21)*N('Peta CPL'!$C$21)*N('Peta CPL'!$E$21))/(N('Peta CPL'!$C$14)*N('Peta CPL'!$E$14)+N('Peta CPL'!$C$15)*N('Peta CPL'!$E$15)+N('Peta CPL'!$C$16)*N('Peta CPL'!$E$16)+N('Peta CPL'!$C$17)*N('Peta CPL'!$E$17)+N('Peta CPL'!$C$18)*N('Peta CPL'!$E$18)+N('Peta CPL'!$C$19)*N('Peta CPL'!$E$19)+N('Peta CPL'!$C$20)*N('Peta CPL'!$E$20)+N('Peta CPL'!$C$21)*N('Peta CPL'!$E$21)),""))</f>
        <v/>
      </c>
      <c r="V21" s="7">
        <f>IF(OR($B21="",'Peta CPL'!$A$7=""),"",IFERROR((N(L21)*N('Peta CPL'!$C$14)*N('Peta CPL'!$F$14)+N(M21)*N('Peta CPL'!$C$15)*N('Peta CPL'!$F$15)+N(N21)*N('Peta CPL'!$C$16)*N('Peta CPL'!$F$16)+N(O21)*N('Peta CPL'!$C$17)*N('Peta CPL'!$F$17)+N(P21)*N('Peta CPL'!$C$18)*N('Peta CPL'!$F$18)+N(Q21)*N('Peta CPL'!$C$19)*N('Peta CPL'!$F$19)+N(R21)*N('Peta CPL'!$C$20)*N('Peta CPL'!$F$20)+N(S21)*N('Peta CPL'!$C$21)*N('Peta CPL'!$F$21))/(N('Peta CPL'!$C$14)*N('Peta CPL'!$F$14)+N('Peta CPL'!$C$15)*N('Peta CPL'!$F$15)+N('Peta CPL'!$C$16)*N('Peta CPL'!$F$16)+N('Peta CPL'!$C$17)*N('Peta CPL'!$F$17)+N('Peta CPL'!$C$18)*N('Peta CPL'!$F$18)+N('Peta CPL'!$C$19)*N('Peta CPL'!$F$19)+N('Peta CPL'!$C$20)*N('Peta CPL'!$F$20)+N('Peta CPL'!$C$21)*N('Peta CPL'!$F$21)),""))</f>
        <v/>
      </c>
      <c r="W21" s="7">
        <f>IF(OR($B21="",'Peta CPL'!$A$8=""),"",IFERROR((N(L21)*N('Peta CPL'!$C$14)*N('Peta CPL'!$G$14)+N(M21)*N('Peta CPL'!$C$15)*N('Peta CPL'!$G$15)+N(N21)*N('Peta CPL'!$C$16)*N('Peta CPL'!$G$16)+N(O21)*N('Peta CPL'!$C$17)*N('Peta CPL'!$G$17)+N(P21)*N('Peta CPL'!$C$18)*N('Peta CPL'!$G$18)+N(Q21)*N('Peta CPL'!$C$19)*N('Peta CPL'!$G$19)+N(R21)*N('Peta CPL'!$C$20)*N('Peta CPL'!$G$20)+N(S21)*N('Peta CPL'!$C$21)*N('Peta CPL'!$G$21))/(N('Peta CPL'!$C$14)*N('Peta CPL'!$G$14)+N('Peta CPL'!$C$15)*N('Peta CPL'!$G$15)+N('Peta CPL'!$C$16)*N('Peta CPL'!$G$16)+N('Peta CPL'!$C$17)*N('Peta CPL'!$G$17)+N('Peta CPL'!$C$18)*N('Peta CPL'!$G$18)+N('Peta CPL'!$C$19)*N('Peta CPL'!$G$19)+N('Peta CPL'!$C$20)*N('Peta CPL'!$G$20)+N('Peta CPL'!$C$21)*N('Peta CPL'!$G$21)),""))</f>
        <v/>
      </c>
      <c r="X21" s="7">
        <f>IF(OR($B21="",'Peta CPL'!$A$9=""),"",IFERROR((N(L21)*N('Peta CPL'!$C$14)*N('Peta CPL'!$H$14)+N(M21)*N('Peta CPL'!$C$15)*N('Peta CPL'!$H$15)+N(N21)*N('Peta CPL'!$C$16)*N('Peta CPL'!$H$16)+N(O21)*N('Peta CPL'!$C$17)*N('Peta CPL'!$H$17)+N(P21)*N('Peta CPL'!$C$18)*N('Peta CPL'!$H$18)+N(Q21)*N('Peta CPL'!$C$19)*N('Peta CPL'!$H$19)+N(R21)*N('Peta CPL'!$C$20)*N('Peta CPL'!$H$20)+N(S21)*N('Peta CPL'!$C$21)*N('Peta CPL'!$H$21))/(N('Peta CPL'!$C$14)*N('Peta CPL'!$H$14)+N('Peta CPL'!$C$15)*N('Peta CPL'!$H$15)+N('Peta CPL'!$C$16)*N('Peta CPL'!$H$16)+N('Peta CPL'!$C$17)*N('Peta CPL'!$H$17)+N('Peta CPL'!$C$18)*N('Peta CPL'!$H$18)+N('Peta CPL'!$C$19)*N('Peta CPL'!$H$19)+N('Peta CPL'!$C$20)*N('Peta CPL'!$H$20)+N('Peta CPL'!$C$21)*N('Peta CPL'!$H$21)),""))</f>
        <v/>
      </c>
      <c r="Y21" s="7">
        <f>IF(OR($B21="",'Peta CPL'!$A$10=""),"",IFERROR((N(L21)*N('Peta CPL'!$C$14)*N('Peta CPL'!$I$14)+N(M21)*N('Peta CPL'!$C$15)*N('Peta CPL'!$I$15)+N(N21)*N('Peta CPL'!$C$16)*N('Peta CPL'!$I$16)+N(O21)*N('Peta CPL'!$C$17)*N('Peta CPL'!$I$17)+N(P21)*N('Peta CPL'!$C$18)*N('Peta CPL'!$I$18)+N(Q21)*N('Peta CPL'!$C$19)*N('Peta CPL'!$I$19)+N(R21)*N('Peta CPL'!$C$20)*N('Peta CPL'!$I$20)+N(S21)*N('Peta CPL'!$C$21)*N('Peta CPL'!$I$21))/(N('Peta CPL'!$C$14)*N('Peta CPL'!$I$14)+N('Peta CPL'!$C$15)*N('Peta CPL'!$I$15)+N('Peta CPL'!$C$16)*N('Peta CPL'!$I$16)+N('Peta CPL'!$C$17)*N('Peta CPL'!$I$17)+N('Peta CPL'!$C$18)*N('Peta CPL'!$I$18)+N('Peta CPL'!$C$19)*N('Peta CPL'!$I$19)+N('Peta CPL'!$C$20)*N('Peta CPL'!$I$20)+N('Peta CPL'!$C$21)*N('Peta CPL'!$I$21)),""))</f>
        <v/>
      </c>
      <c r="Z21" s="7">
        <f>IF($B21="","",IFERROR((N(L21)*N('Peta CPL'!$C$14)+N(M21)*N('Peta CPL'!$C$15)+N(N21)*N('Peta CPL'!$C$16)+N(O21)*N('Peta CPL'!$C$17)+N(P21)*N('Peta CPL'!$C$18)+N(Q21)*N('Peta CPL'!$C$19)+N(R21)*N('Peta CPL'!$C$20)+N(S21)*N('Peta CPL'!$C$21))/100,""))</f>
        <v/>
      </c>
    </row>
    <row r="22">
      <c r="A22" s="7">
        <f>'Input Nilai'!A22</f>
        <v/>
      </c>
      <c r="B22" s="7">
        <f>'Input Nilai'!B22</f>
        <v/>
      </c>
      <c r="C22" s="15">
        <f>'Input Nilai'!C22</f>
        <v/>
      </c>
      <c r="D22" s="7">
        <f>IF(OR('Input Nilai'!$B22="",'Bobot CPMK'!$O$4=0),"",(SUMPRODUCT('Input Nilai'!D22:L22,'Bobot CPMK'!$E$4:$M$4)+'Input Nilai'!$BX22*'Bobot CPMK'!$N$4)/'Bobot CPMK'!$O$4)</f>
        <v/>
      </c>
      <c r="E22" s="7">
        <f>IF(OR('Input Nilai'!$B22="",'Bobot CPMK'!$O$5=0),"",(SUMPRODUCT('Input Nilai'!M22:U22,'Bobot CPMK'!$E$5:$M$5)+'Input Nilai'!$BX22*'Bobot CPMK'!$N$5)/'Bobot CPMK'!$O$5)</f>
        <v/>
      </c>
      <c r="F22" s="7">
        <f>IF(OR('Input Nilai'!$B22="",'Bobot CPMK'!$O$6=0),"",(SUMPRODUCT('Input Nilai'!V22:AD22,'Bobot CPMK'!$E$6:$M$6)+'Input Nilai'!$BX22*'Bobot CPMK'!$N$6)/'Bobot CPMK'!$O$6)</f>
        <v/>
      </c>
      <c r="G22" s="7">
        <f>IF(OR('Input Nilai'!$B22="",'Bobot CPMK'!$O$7=0),"",(SUMPRODUCT('Input Nilai'!AE22:AM22,'Bobot CPMK'!$E$7:$M$7)+'Input Nilai'!$BX22*'Bobot CPMK'!$N$7)/'Bobot CPMK'!$O$7)</f>
        <v/>
      </c>
      <c r="H22" s="7">
        <f>IF(OR('Input Nilai'!$B22="",'Bobot CPMK'!$O$8=0),"",(SUMPRODUCT('Input Nilai'!AN22:AV22,'Bobot CPMK'!$E$8:$M$8)+'Input Nilai'!$BX22*'Bobot CPMK'!$N$8)/'Bobot CPMK'!$O$8)</f>
        <v/>
      </c>
      <c r="I22" s="7">
        <f>IF(OR('Input Nilai'!$B22="",'Bobot CPMK'!$O$9=0),"",(SUMPRODUCT('Input Nilai'!AW22:BE22,'Bobot CPMK'!$E$9:$M$9)+'Input Nilai'!$BX22*'Bobot CPMK'!$N$9)/'Bobot CPMK'!$O$9)</f>
        <v/>
      </c>
      <c r="J22" s="7">
        <f>IF(OR('Input Nilai'!$B22="",'Bobot CPMK'!$O$10=0),"",(SUMPRODUCT('Input Nilai'!BF22:BN22,'Bobot CPMK'!$E$10:$M$10)+'Input Nilai'!$BX22*'Bobot CPMK'!$N$10)/'Bobot CPMK'!$O$10)</f>
        <v/>
      </c>
      <c r="K22" s="7">
        <f>IF(OR('Input Nilai'!$B22="",'Bobot CPMK'!$O$11=0),"",(SUMPRODUCT('Input Nilai'!BO22:BW22,'Bobot CPMK'!$E$11:$M$11)+'Input Nilai'!$BX22*'Bobot CPMK'!$N$11)/'Bobot CPMK'!$O$11)</f>
        <v/>
      </c>
      <c r="L22" s="7">
        <f>IF(OR($B22="",'Peta CPL'!$A$14=""),"",IFERROR(SUM(IF('Bobot CPMK'!$B$4='Peta CPL'!$A$14,N(D22)*'Bobot CPMK'!$P$4,0),IF('Bobot CPMK'!$B$5='Peta CPL'!$A$14,N(E22)*'Bobot CPMK'!$P$5,0),IF('Bobot CPMK'!$B$6='Peta CPL'!$A$14,N(F22)*'Bobot CPMK'!$P$6,0),IF('Bobot CPMK'!$B$7='Peta CPL'!$A$14,N(G22)*'Bobot CPMK'!$P$7,0),IF('Bobot CPMK'!$B$8='Peta CPL'!$A$14,N(H22)*'Bobot CPMK'!$P$8,0),IF('Bobot CPMK'!$B$9='Peta CPL'!$A$14,N(I22)*'Bobot CPMK'!$P$9,0),IF('Bobot CPMK'!$B$10='Peta CPL'!$A$14,N(J22)*'Bobot CPMK'!$P$10,0),IF('Bobot CPMK'!$B$11='Peta CPL'!$A$14,N(K22)*'Bobot CPMK'!$P$11,0))/SUM(IF('Bobot CPMK'!$B$4='Peta CPL'!$A$14,'Bobot CPMK'!$P$4,0),IF('Bobot CPMK'!$B$5='Peta CPL'!$A$14,'Bobot CPMK'!$P$5,0),IF('Bobot CPMK'!$B$6='Peta CPL'!$A$14,'Bobot CPMK'!$P$6,0),IF('Bobot CPMK'!$B$7='Peta CPL'!$A$14,'Bobot CPMK'!$P$7,0),IF('Bobot CPMK'!$B$8='Peta CPL'!$A$14,'Bobot CPMK'!$P$8,0),IF('Bobot CPMK'!$B$9='Peta CPL'!$A$14,'Bobot CPMK'!$P$9,0),IF('Bobot CPMK'!$B$10='Peta CPL'!$A$14,'Bobot CPMK'!$P$10,0),IF('Bobot CPMK'!$B$11='Peta CPL'!$A$14,'Bobot CPMK'!$P$11,0)),""))</f>
        <v/>
      </c>
      <c r="M22" s="7">
        <f>IF(OR($B22="",'Peta CPL'!$A$15=""),"",IFERROR(SUM(IF('Bobot CPMK'!$B$4='Peta CPL'!$A$15,N(D22)*'Bobot CPMK'!$P$4,0),IF('Bobot CPMK'!$B$5='Peta CPL'!$A$15,N(E22)*'Bobot CPMK'!$P$5,0),IF('Bobot CPMK'!$B$6='Peta CPL'!$A$15,N(F22)*'Bobot CPMK'!$P$6,0),IF('Bobot CPMK'!$B$7='Peta CPL'!$A$15,N(G22)*'Bobot CPMK'!$P$7,0),IF('Bobot CPMK'!$B$8='Peta CPL'!$A$15,N(H22)*'Bobot CPMK'!$P$8,0),IF('Bobot CPMK'!$B$9='Peta CPL'!$A$15,N(I22)*'Bobot CPMK'!$P$9,0),IF('Bobot CPMK'!$B$10='Peta CPL'!$A$15,N(J22)*'Bobot CPMK'!$P$10,0),IF('Bobot CPMK'!$B$11='Peta CPL'!$A$15,N(K22)*'Bobot CPMK'!$P$11,0))/SUM(IF('Bobot CPMK'!$B$4='Peta CPL'!$A$15,'Bobot CPMK'!$P$4,0),IF('Bobot CPMK'!$B$5='Peta CPL'!$A$15,'Bobot CPMK'!$P$5,0),IF('Bobot CPMK'!$B$6='Peta CPL'!$A$15,'Bobot CPMK'!$P$6,0),IF('Bobot CPMK'!$B$7='Peta CPL'!$A$15,'Bobot CPMK'!$P$7,0),IF('Bobot CPMK'!$B$8='Peta CPL'!$A$15,'Bobot CPMK'!$P$8,0),IF('Bobot CPMK'!$B$9='Peta CPL'!$A$15,'Bobot CPMK'!$P$9,0),IF('Bobot CPMK'!$B$10='Peta CPL'!$A$15,'Bobot CPMK'!$P$10,0),IF('Bobot CPMK'!$B$11='Peta CPL'!$A$15,'Bobot CPMK'!$P$11,0)),""))</f>
        <v/>
      </c>
      <c r="N22" s="7">
        <f>IF(OR($B22="",'Peta CPL'!$A$16=""),"",IFERROR(SUM(IF('Bobot CPMK'!$B$4='Peta CPL'!$A$16,N(D22)*'Bobot CPMK'!$P$4,0),IF('Bobot CPMK'!$B$5='Peta CPL'!$A$16,N(E22)*'Bobot CPMK'!$P$5,0),IF('Bobot CPMK'!$B$6='Peta CPL'!$A$16,N(F22)*'Bobot CPMK'!$P$6,0),IF('Bobot CPMK'!$B$7='Peta CPL'!$A$16,N(G22)*'Bobot CPMK'!$P$7,0),IF('Bobot CPMK'!$B$8='Peta CPL'!$A$16,N(H22)*'Bobot CPMK'!$P$8,0),IF('Bobot CPMK'!$B$9='Peta CPL'!$A$16,N(I22)*'Bobot CPMK'!$P$9,0),IF('Bobot CPMK'!$B$10='Peta CPL'!$A$16,N(J22)*'Bobot CPMK'!$P$10,0),IF('Bobot CPMK'!$B$11='Peta CPL'!$A$16,N(K22)*'Bobot CPMK'!$P$11,0))/SUM(IF('Bobot CPMK'!$B$4='Peta CPL'!$A$16,'Bobot CPMK'!$P$4,0),IF('Bobot CPMK'!$B$5='Peta CPL'!$A$16,'Bobot CPMK'!$P$5,0),IF('Bobot CPMK'!$B$6='Peta CPL'!$A$16,'Bobot CPMK'!$P$6,0),IF('Bobot CPMK'!$B$7='Peta CPL'!$A$16,'Bobot CPMK'!$P$7,0),IF('Bobot CPMK'!$B$8='Peta CPL'!$A$16,'Bobot CPMK'!$P$8,0),IF('Bobot CPMK'!$B$9='Peta CPL'!$A$16,'Bobot CPMK'!$P$9,0),IF('Bobot CPMK'!$B$10='Peta CPL'!$A$16,'Bobot CPMK'!$P$10,0),IF('Bobot CPMK'!$B$11='Peta CPL'!$A$16,'Bobot CPMK'!$P$11,0)),""))</f>
        <v/>
      </c>
      <c r="O22" s="7">
        <f>IF(OR($B22="",'Peta CPL'!$A$17=""),"",IFERROR(SUM(IF('Bobot CPMK'!$B$4='Peta CPL'!$A$17,N(D22)*'Bobot CPMK'!$P$4,0),IF('Bobot CPMK'!$B$5='Peta CPL'!$A$17,N(E22)*'Bobot CPMK'!$P$5,0),IF('Bobot CPMK'!$B$6='Peta CPL'!$A$17,N(F22)*'Bobot CPMK'!$P$6,0),IF('Bobot CPMK'!$B$7='Peta CPL'!$A$17,N(G22)*'Bobot CPMK'!$P$7,0),IF('Bobot CPMK'!$B$8='Peta CPL'!$A$17,N(H22)*'Bobot CPMK'!$P$8,0),IF('Bobot CPMK'!$B$9='Peta CPL'!$A$17,N(I22)*'Bobot CPMK'!$P$9,0),IF('Bobot CPMK'!$B$10='Peta CPL'!$A$17,N(J22)*'Bobot CPMK'!$P$10,0),IF('Bobot CPMK'!$B$11='Peta CPL'!$A$17,N(K22)*'Bobot CPMK'!$P$11,0))/SUM(IF('Bobot CPMK'!$B$4='Peta CPL'!$A$17,'Bobot CPMK'!$P$4,0),IF('Bobot CPMK'!$B$5='Peta CPL'!$A$17,'Bobot CPMK'!$P$5,0),IF('Bobot CPMK'!$B$6='Peta CPL'!$A$17,'Bobot CPMK'!$P$6,0),IF('Bobot CPMK'!$B$7='Peta CPL'!$A$17,'Bobot CPMK'!$P$7,0),IF('Bobot CPMK'!$B$8='Peta CPL'!$A$17,'Bobot CPMK'!$P$8,0),IF('Bobot CPMK'!$B$9='Peta CPL'!$A$17,'Bobot CPMK'!$P$9,0),IF('Bobot CPMK'!$B$10='Peta CPL'!$A$17,'Bobot CPMK'!$P$10,0),IF('Bobot CPMK'!$B$11='Peta CPL'!$A$17,'Bobot CPMK'!$P$11,0)),""))</f>
        <v/>
      </c>
      <c r="P22" s="7">
        <f>IF(OR($B22="",'Peta CPL'!$A$18=""),"",IFERROR(SUM(IF('Bobot CPMK'!$B$4='Peta CPL'!$A$18,N(D22)*'Bobot CPMK'!$P$4,0),IF('Bobot CPMK'!$B$5='Peta CPL'!$A$18,N(E22)*'Bobot CPMK'!$P$5,0),IF('Bobot CPMK'!$B$6='Peta CPL'!$A$18,N(F22)*'Bobot CPMK'!$P$6,0),IF('Bobot CPMK'!$B$7='Peta CPL'!$A$18,N(G22)*'Bobot CPMK'!$P$7,0),IF('Bobot CPMK'!$B$8='Peta CPL'!$A$18,N(H22)*'Bobot CPMK'!$P$8,0),IF('Bobot CPMK'!$B$9='Peta CPL'!$A$18,N(I22)*'Bobot CPMK'!$P$9,0),IF('Bobot CPMK'!$B$10='Peta CPL'!$A$18,N(J22)*'Bobot CPMK'!$P$10,0),IF('Bobot CPMK'!$B$11='Peta CPL'!$A$18,N(K22)*'Bobot CPMK'!$P$11,0))/SUM(IF('Bobot CPMK'!$B$4='Peta CPL'!$A$18,'Bobot CPMK'!$P$4,0),IF('Bobot CPMK'!$B$5='Peta CPL'!$A$18,'Bobot CPMK'!$P$5,0),IF('Bobot CPMK'!$B$6='Peta CPL'!$A$18,'Bobot CPMK'!$P$6,0),IF('Bobot CPMK'!$B$7='Peta CPL'!$A$18,'Bobot CPMK'!$P$7,0),IF('Bobot CPMK'!$B$8='Peta CPL'!$A$18,'Bobot CPMK'!$P$8,0),IF('Bobot CPMK'!$B$9='Peta CPL'!$A$18,'Bobot CPMK'!$P$9,0),IF('Bobot CPMK'!$B$10='Peta CPL'!$A$18,'Bobot CPMK'!$P$10,0),IF('Bobot CPMK'!$B$11='Peta CPL'!$A$18,'Bobot CPMK'!$P$11,0)),""))</f>
        <v/>
      </c>
      <c r="Q22" s="7">
        <f>IF(OR($B22="",'Peta CPL'!$A$19=""),"",IFERROR(SUM(IF('Bobot CPMK'!$B$4='Peta CPL'!$A$19,N(D22)*'Bobot CPMK'!$P$4,0),IF('Bobot CPMK'!$B$5='Peta CPL'!$A$19,N(E22)*'Bobot CPMK'!$P$5,0),IF('Bobot CPMK'!$B$6='Peta CPL'!$A$19,N(F22)*'Bobot CPMK'!$P$6,0),IF('Bobot CPMK'!$B$7='Peta CPL'!$A$19,N(G22)*'Bobot CPMK'!$P$7,0),IF('Bobot CPMK'!$B$8='Peta CPL'!$A$19,N(H22)*'Bobot CPMK'!$P$8,0),IF('Bobot CPMK'!$B$9='Peta CPL'!$A$19,N(I22)*'Bobot CPMK'!$P$9,0),IF('Bobot CPMK'!$B$10='Peta CPL'!$A$19,N(J22)*'Bobot CPMK'!$P$10,0),IF('Bobot CPMK'!$B$11='Peta CPL'!$A$19,N(K22)*'Bobot CPMK'!$P$11,0))/SUM(IF('Bobot CPMK'!$B$4='Peta CPL'!$A$19,'Bobot CPMK'!$P$4,0),IF('Bobot CPMK'!$B$5='Peta CPL'!$A$19,'Bobot CPMK'!$P$5,0),IF('Bobot CPMK'!$B$6='Peta CPL'!$A$19,'Bobot CPMK'!$P$6,0),IF('Bobot CPMK'!$B$7='Peta CPL'!$A$19,'Bobot CPMK'!$P$7,0),IF('Bobot CPMK'!$B$8='Peta CPL'!$A$19,'Bobot CPMK'!$P$8,0),IF('Bobot CPMK'!$B$9='Peta CPL'!$A$19,'Bobot CPMK'!$P$9,0),IF('Bobot CPMK'!$B$10='Peta CPL'!$A$19,'Bobot CPMK'!$P$10,0),IF('Bobot CPMK'!$B$11='Peta CPL'!$A$19,'Bobot CPMK'!$P$11,0)),""))</f>
        <v/>
      </c>
      <c r="R22" s="7">
        <f>IF(OR($B22="",'Peta CPL'!$A$20=""),"",IFERROR(SUM(IF('Bobot CPMK'!$B$4='Peta CPL'!$A$20,N(D22)*'Bobot CPMK'!$P$4,0),IF('Bobot CPMK'!$B$5='Peta CPL'!$A$20,N(E22)*'Bobot CPMK'!$P$5,0),IF('Bobot CPMK'!$B$6='Peta CPL'!$A$20,N(F22)*'Bobot CPMK'!$P$6,0),IF('Bobot CPMK'!$B$7='Peta CPL'!$A$20,N(G22)*'Bobot CPMK'!$P$7,0),IF('Bobot CPMK'!$B$8='Peta CPL'!$A$20,N(H22)*'Bobot CPMK'!$P$8,0),IF('Bobot CPMK'!$B$9='Peta CPL'!$A$20,N(I22)*'Bobot CPMK'!$P$9,0),IF('Bobot CPMK'!$B$10='Peta CPL'!$A$20,N(J22)*'Bobot CPMK'!$P$10,0),IF('Bobot CPMK'!$B$11='Peta CPL'!$A$20,N(K22)*'Bobot CPMK'!$P$11,0))/SUM(IF('Bobot CPMK'!$B$4='Peta CPL'!$A$20,'Bobot CPMK'!$P$4,0),IF('Bobot CPMK'!$B$5='Peta CPL'!$A$20,'Bobot CPMK'!$P$5,0),IF('Bobot CPMK'!$B$6='Peta CPL'!$A$20,'Bobot CPMK'!$P$6,0),IF('Bobot CPMK'!$B$7='Peta CPL'!$A$20,'Bobot CPMK'!$P$7,0),IF('Bobot CPMK'!$B$8='Peta CPL'!$A$20,'Bobot CPMK'!$P$8,0),IF('Bobot CPMK'!$B$9='Peta CPL'!$A$20,'Bobot CPMK'!$P$9,0),IF('Bobot CPMK'!$B$10='Peta CPL'!$A$20,'Bobot CPMK'!$P$10,0),IF('Bobot CPMK'!$B$11='Peta CPL'!$A$20,'Bobot CPMK'!$P$11,0)),""))</f>
        <v/>
      </c>
      <c r="S22" s="7">
        <f>IF(OR($B22="",'Peta CPL'!$A$21=""),"",IFERROR(SUM(IF('Bobot CPMK'!$B$4='Peta CPL'!$A$21,N(D22)*'Bobot CPMK'!$P$4,0),IF('Bobot CPMK'!$B$5='Peta CPL'!$A$21,N(E22)*'Bobot CPMK'!$P$5,0),IF('Bobot CPMK'!$B$6='Peta CPL'!$A$21,N(F22)*'Bobot CPMK'!$P$6,0),IF('Bobot CPMK'!$B$7='Peta CPL'!$A$21,N(G22)*'Bobot CPMK'!$P$7,0),IF('Bobot CPMK'!$B$8='Peta CPL'!$A$21,N(H22)*'Bobot CPMK'!$P$8,0),IF('Bobot CPMK'!$B$9='Peta CPL'!$A$21,N(I22)*'Bobot CPMK'!$P$9,0),IF('Bobot CPMK'!$B$10='Peta CPL'!$A$21,N(J22)*'Bobot CPMK'!$P$10,0),IF('Bobot CPMK'!$B$11='Peta CPL'!$A$21,N(K22)*'Bobot CPMK'!$P$11,0))/SUM(IF('Bobot CPMK'!$B$4='Peta CPL'!$A$21,'Bobot CPMK'!$P$4,0),IF('Bobot CPMK'!$B$5='Peta CPL'!$A$21,'Bobot CPMK'!$P$5,0),IF('Bobot CPMK'!$B$6='Peta CPL'!$A$21,'Bobot CPMK'!$P$6,0),IF('Bobot CPMK'!$B$7='Peta CPL'!$A$21,'Bobot CPMK'!$P$7,0),IF('Bobot CPMK'!$B$8='Peta CPL'!$A$21,'Bobot CPMK'!$P$8,0),IF('Bobot CPMK'!$B$9='Peta CPL'!$A$21,'Bobot CPMK'!$P$9,0),IF('Bobot CPMK'!$B$10='Peta CPL'!$A$21,'Bobot CPMK'!$P$10,0),IF('Bobot CPMK'!$B$11='Peta CPL'!$A$21,'Bobot CPMK'!$P$11,0)),""))</f>
        <v/>
      </c>
      <c r="T22" s="7">
        <f>IF(OR($B22="",'Peta CPL'!$A$5=""),"",IFERROR((N(L22)*N('Peta CPL'!$C$14)*N('Peta CPL'!$D$14)+N(M22)*N('Peta CPL'!$C$15)*N('Peta CPL'!$D$15)+N(N22)*N('Peta CPL'!$C$16)*N('Peta CPL'!$D$16)+N(O22)*N('Peta CPL'!$C$17)*N('Peta CPL'!$D$17)+N(P22)*N('Peta CPL'!$C$18)*N('Peta CPL'!$D$18)+N(Q22)*N('Peta CPL'!$C$19)*N('Peta CPL'!$D$19)+N(R22)*N('Peta CPL'!$C$20)*N('Peta CPL'!$D$20)+N(S22)*N('Peta CPL'!$C$21)*N('Peta CPL'!$D$21))/(N('Peta CPL'!$C$14)*N('Peta CPL'!$D$14)+N('Peta CPL'!$C$15)*N('Peta CPL'!$D$15)+N('Peta CPL'!$C$16)*N('Peta CPL'!$D$16)+N('Peta CPL'!$C$17)*N('Peta CPL'!$D$17)+N('Peta CPL'!$C$18)*N('Peta CPL'!$D$18)+N('Peta CPL'!$C$19)*N('Peta CPL'!$D$19)+N('Peta CPL'!$C$20)*N('Peta CPL'!$D$20)+N('Peta CPL'!$C$21)*N('Peta CPL'!$D$21)),""))</f>
        <v/>
      </c>
      <c r="U22" s="7">
        <f>IF(OR($B22="",'Peta CPL'!$A$6=""),"",IFERROR((N(L22)*N('Peta CPL'!$C$14)*N('Peta CPL'!$E$14)+N(M22)*N('Peta CPL'!$C$15)*N('Peta CPL'!$E$15)+N(N22)*N('Peta CPL'!$C$16)*N('Peta CPL'!$E$16)+N(O22)*N('Peta CPL'!$C$17)*N('Peta CPL'!$E$17)+N(P22)*N('Peta CPL'!$C$18)*N('Peta CPL'!$E$18)+N(Q22)*N('Peta CPL'!$C$19)*N('Peta CPL'!$E$19)+N(R22)*N('Peta CPL'!$C$20)*N('Peta CPL'!$E$20)+N(S22)*N('Peta CPL'!$C$21)*N('Peta CPL'!$E$21))/(N('Peta CPL'!$C$14)*N('Peta CPL'!$E$14)+N('Peta CPL'!$C$15)*N('Peta CPL'!$E$15)+N('Peta CPL'!$C$16)*N('Peta CPL'!$E$16)+N('Peta CPL'!$C$17)*N('Peta CPL'!$E$17)+N('Peta CPL'!$C$18)*N('Peta CPL'!$E$18)+N('Peta CPL'!$C$19)*N('Peta CPL'!$E$19)+N('Peta CPL'!$C$20)*N('Peta CPL'!$E$20)+N('Peta CPL'!$C$21)*N('Peta CPL'!$E$21)),""))</f>
        <v/>
      </c>
      <c r="V22" s="7">
        <f>IF(OR($B22="",'Peta CPL'!$A$7=""),"",IFERROR((N(L22)*N('Peta CPL'!$C$14)*N('Peta CPL'!$F$14)+N(M22)*N('Peta CPL'!$C$15)*N('Peta CPL'!$F$15)+N(N22)*N('Peta CPL'!$C$16)*N('Peta CPL'!$F$16)+N(O22)*N('Peta CPL'!$C$17)*N('Peta CPL'!$F$17)+N(P22)*N('Peta CPL'!$C$18)*N('Peta CPL'!$F$18)+N(Q22)*N('Peta CPL'!$C$19)*N('Peta CPL'!$F$19)+N(R22)*N('Peta CPL'!$C$20)*N('Peta CPL'!$F$20)+N(S22)*N('Peta CPL'!$C$21)*N('Peta CPL'!$F$21))/(N('Peta CPL'!$C$14)*N('Peta CPL'!$F$14)+N('Peta CPL'!$C$15)*N('Peta CPL'!$F$15)+N('Peta CPL'!$C$16)*N('Peta CPL'!$F$16)+N('Peta CPL'!$C$17)*N('Peta CPL'!$F$17)+N('Peta CPL'!$C$18)*N('Peta CPL'!$F$18)+N('Peta CPL'!$C$19)*N('Peta CPL'!$F$19)+N('Peta CPL'!$C$20)*N('Peta CPL'!$F$20)+N('Peta CPL'!$C$21)*N('Peta CPL'!$F$21)),""))</f>
        <v/>
      </c>
      <c r="W22" s="7">
        <f>IF(OR($B22="",'Peta CPL'!$A$8=""),"",IFERROR((N(L22)*N('Peta CPL'!$C$14)*N('Peta CPL'!$G$14)+N(M22)*N('Peta CPL'!$C$15)*N('Peta CPL'!$G$15)+N(N22)*N('Peta CPL'!$C$16)*N('Peta CPL'!$G$16)+N(O22)*N('Peta CPL'!$C$17)*N('Peta CPL'!$G$17)+N(P22)*N('Peta CPL'!$C$18)*N('Peta CPL'!$G$18)+N(Q22)*N('Peta CPL'!$C$19)*N('Peta CPL'!$G$19)+N(R22)*N('Peta CPL'!$C$20)*N('Peta CPL'!$G$20)+N(S22)*N('Peta CPL'!$C$21)*N('Peta CPL'!$G$21))/(N('Peta CPL'!$C$14)*N('Peta CPL'!$G$14)+N('Peta CPL'!$C$15)*N('Peta CPL'!$G$15)+N('Peta CPL'!$C$16)*N('Peta CPL'!$G$16)+N('Peta CPL'!$C$17)*N('Peta CPL'!$G$17)+N('Peta CPL'!$C$18)*N('Peta CPL'!$G$18)+N('Peta CPL'!$C$19)*N('Peta CPL'!$G$19)+N('Peta CPL'!$C$20)*N('Peta CPL'!$G$20)+N('Peta CPL'!$C$21)*N('Peta CPL'!$G$21)),""))</f>
        <v/>
      </c>
      <c r="X22" s="7">
        <f>IF(OR($B22="",'Peta CPL'!$A$9=""),"",IFERROR((N(L22)*N('Peta CPL'!$C$14)*N('Peta CPL'!$H$14)+N(M22)*N('Peta CPL'!$C$15)*N('Peta CPL'!$H$15)+N(N22)*N('Peta CPL'!$C$16)*N('Peta CPL'!$H$16)+N(O22)*N('Peta CPL'!$C$17)*N('Peta CPL'!$H$17)+N(P22)*N('Peta CPL'!$C$18)*N('Peta CPL'!$H$18)+N(Q22)*N('Peta CPL'!$C$19)*N('Peta CPL'!$H$19)+N(R22)*N('Peta CPL'!$C$20)*N('Peta CPL'!$H$20)+N(S22)*N('Peta CPL'!$C$21)*N('Peta CPL'!$H$21))/(N('Peta CPL'!$C$14)*N('Peta CPL'!$H$14)+N('Peta CPL'!$C$15)*N('Peta CPL'!$H$15)+N('Peta CPL'!$C$16)*N('Peta CPL'!$H$16)+N('Peta CPL'!$C$17)*N('Peta CPL'!$H$17)+N('Peta CPL'!$C$18)*N('Peta CPL'!$H$18)+N('Peta CPL'!$C$19)*N('Peta CPL'!$H$19)+N('Peta CPL'!$C$20)*N('Peta CPL'!$H$20)+N('Peta CPL'!$C$21)*N('Peta CPL'!$H$21)),""))</f>
        <v/>
      </c>
      <c r="Y22" s="7">
        <f>IF(OR($B22="",'Peta CPL'!$A$10=""),"",IFERROR((N(L22)*N('Peta CPL'!$C$14)*N('Peta CPL'!$I$14)+N(M22)*N('Peta CPL'!$C$15)*N('Peta CPL'!$I$15)+N(N22)*N('Peta CPL'!$C$16)*N('Peta CPL'!$I$16)+N(O22)*N('Peta CPL'!$C$17)*N('Peta CPL'!$I$17)+N(P22)*N('Peta CPL'!$C$18)*N('Peta CPL'!$I$18)+N(Q22)*N('Peta CPL'!$C$19)*N('Peta CPL'!$I$19)+N(R22)*N('Peta CPL'!$C$20)*N('Peta CPL'!$I$20)+N(S22)*N('Peta CPL'!$C$21)*N('Peta CPL'!$I$21))/(N('Peta CPL'!$C$14)*N('Peta CPL'!$I$14)+N('Peta CPL'!$C$15)*N('Peta CPL'!$I$15)+N('Peta CPL'!$C$16)*N('Peta CPL'!$I$16)+N('Peta CPL'!$C$17)*N('Peta CPL'!$I$17)+N('Peta CPL'!$C$18)*N('Peta CPL'!$I$18)+N('Peta CPL'!$C$19)*N('Peta CPL'!$I$19)+N('Peta CPL'!$C$20)*N('Peta CPL'!$I$20)+N('Peta CPL'!$C$21)*N('Peta CPL'!$I$21)),""))</f>
        <v/>
      </c>
      <c r="Z22" s="7">
        <f>IF($B22="","",IFERROR((N(L22)*N('Peta CPL'!$C$14)+N(M22)*N('Peta CPL'!$C$15)+N(N22)*N('Peta CPL'!$C$16)+N(O22)*N('Peta CPL'!$C$17)+N(P22)*N('Peta CPL'!$C$18)+N(Q22)*N('Peta CPL'!$C$19)+N(R22)*N('Peta CPL'!$C$20)+N(S22)*N('Peta CPL'!$C$21))/100,""))</f>
        <v/>
      </c>
    </row>
    <row r="23">
      <c r="A23" s="7">
        <f>'Input Nilai'!A23</f>
        <v/>
      </c>
      <c r="B23" s="7">
        <f>'Input Nilai'!B23</f>
        <v/>
      </c>
      <c r="C23" s="15">
        <f>'Input Nilai'!C23</f>
        <v/>
      </c>
      <c r="D23" s="7">
        <f>IF(OR('Input Nilai'!$B23="",'Bobot CPMK'!$O$4=0),"",(SUMPRODUCT('Input Nilai'!D23:L23,'Bobot CPMK'!$E$4:$M$4)+'Input Nilai'!$BX23*'Bobot CPMK'!$N$4)/'Bobot CPMK'!$O$4)</f>
        <v/>
      </c>
      <c r="E23" s="7">
        <f>IF(OR('Input Nilai'!$B23="",'Bobot CPMK'!$O$5=0),"",(SUMPRODUCT('Input Nilai'!M23:U23,'Bobot CPMK'!$E$5:$M$5)+'Input Nilai'!$BX23*'Bobot CPMK'!$N$5)/'Bobot CPMK'!$O$5)</f>
        <v/>
      </c>
      <c r="F23" s="7">
        <f>IF(OR('Input Nilai'!$B23="",'Bobot CPMK'!$O$6=0),"",(SUMPRODUCT('Input Nilai'!V23:AD23,'Bobot CPMK'!$E$6:$M$6)+'Input Nilai'!$BX23*'Bobot CPMK'!$N$6)/'Bobot CPMK'!$O$6)</f>
        <v/>
      </c>
      <c r="G23" s="7">
        <f>IF(OR('Input Nilai'!$B23="",'Bobot CPMK'!$O$7=0),"",(SUMPRODUCT('Input Nilai'!AE23:AM23,'Bobot CPMK'!$E$7:$M$7)+'Input Nilai'!$BX23*'Bobot CPMK'!$N$7)/'Bobot CPMK'!$O$7)</f>
        <v/>
      </c>
      <c r="H23" s="7">
        <f>IF(OR('Input Nilai'!$B23="",'Bobot CPMK'!$O$8=0),"",(SUMPRODUCT('Input Nilai'!AN23:AV23,'Bobot CPMK'!$E$8:$M$8)+'Input Nilai'!$BX23*'Bobot CPMK'!$N$8)/'Bobot CPMK'!$O$8)</f>
        <v/>
      </c>
      <c r="I23" s="7">
        <f>IF(OR('Input Nilai'!$B23="",'Bobot CPMK'!$O$9=0),"",(SUMPRODUCT('Input Nilai'!AW23:BE23,'Bobot CPMK'!$E$9:$M$9)+'Input Nilai'!$BX23*'Bobot CPMK'!$N$9)/'Bobot CPMK'!$O$9)</f>
        <v/>
      </c>
      <c r="J23" s="7">
        <f>IF(OR('Input Nilai'!$B23="",'Bobot CPMK'!$O$10=0),"",(SUMPRODUCT('Input Nilai'!BF23:BN23,'Bobot CPMK'!$E$10:$M$10)+'Input Nilai'!$BX23*'Bobot CPMK'!$N$10)/'Bobot CPMK'!$O$10)</f>
        <v/>
      </c>
      <c r="K23" s="7">
        <f>IF(OR('Input Nilai'!$B23="",'Bobot CPMK'!$O$11=0),"",(SUMPRODUCT('Input Nilai'!BO23:BW23,'Bobot CPMK'!$E$11:$M$11)+'Input Nilai'!$BX23*'Bobot CPMK'!$N$11)/'Bobot CPMK'!$O$11)</f>
        <v/>
      </c>
      <c r="L23" s="7">
        <f>IF(OR($B23="",'Peta CPL'!$A$14=""),"",IFERROR(SUM(IF('Bobot CPMK'!$B$4='Peta CPL'!$A$14,N(D23)*'Bobot CPMK'!$P$4,0),IF('Bobot CPMK'!$B$5='Peta CPL'!$A$14,N(E23)*'Bobot CPMK'!$P$5,0),IF('Bobot CPMK'!$B$6='Peta CPL'!$A$14,N(F23)*'Bobot CPMK'!$P$6,0),IF('Bobot CPMK'!$B$7='Peta CPL'!$A$14,N(G23)*'Bobot CPMK'!$P$7,0),IF('Bobot CPMK'!$B$8='Peta CPL'!$A$14,N(H23)*'Bobot CPMK'!$P$8,0),IF('Bobot CPMK'!$B$9='Peta CPL'!$A$14,N(I23)*'Bobot CPMK'!$P$9,0),IF('Bobot CPMK'!$B$10='Peta CPL'!$A$14,N(J23)*'Bobot CPMK'!$P$10,0),IF('Bobot CPMK'!$B$11='Peta CPL'!$A$14,N(K23)*'Bobot CPMK'!$P$11,0))/SUM(IF('Bobot CPMK'!$B$4='Peta CPL'!$A$14,'Bobot CPMK'!$P$4,0),IF('Bobot CPMK'!$B$5='Peta CPL'!$A$14,'Bobot CPMK'!$P$5,0),IF('Bobot CPMK'!$B$6='Peta CPL'!$A$14,'Bobot CPMK'!$P$6,0),IF('Bobot CPMK'!$B$7='Peta CPL'!$A$14,'Bobot CPMK'!$P$7,0),IF('Bobot CPMK'!$B$8='Peta CPL'!$A$14,'Bobot CPMK'!$P$8,0),IF('Bobot CPMK'!$B$9='Peta CPL'!$A$14,'Bobot CPMK'!$P$9,0),IF('Bobot CPMK'!$B$10='Peta CPL'!$A$14,'Bobot CPMK'!$P$10,0),IF('Bobot CPMK'!$B$11='Peta CPL'!$A$14,'Bobot CPMK'!$P$11,0)),""))</f>
        <v/>
      </c>
      <c r="M23" s="7">
        <f>IF(OR($B23="",'Peta CPL'!$A$15=""),"",IFERROR(SUM(IF('Bobot CPMK'!$B$4='Peta CPL'!$A$15,N(D23)*'Bobot CPMK'!$P$4,0),IF('Bobot CPMK'!$B$5='Peta CPL'!$A$15,N(E23)*'Bobot CPMK'!$P$5,0),IF('Bobot CPMK'!$B$6='Peta CPL'!$A$15,N(F23)*'Bobot CPMK'!$P$6,0),IF('Bobot CPMK'!$B$7='Peta CPL'!$A$15,N(G23)*'Bobot CPMK'!$P$7,0),IF('Bobot CPMK'!$B$8='Peta CPL'!$A$15,N(H23)*'Bobot CPMK'!$P$8,0),IF('Bobot CPMK'!$B$9='Peta CPL'!$A$15,N(I23)*'Bobot CPMK'!$P$9,0),IF('Bobot CPMK'!$B$10='Peta CPL'!$A$15,N(J23)*'Bobot CPMK'!$P$10,0),IF('Bobot CPMK'!$B$11='Peta CPL'!$A$15,N(K23)*'Bobot CPMK'!$P$11,0))/SUM(IF('Bobot CPMK'!$B$4='Peta CPL'!$A$15,'Bobot CPMK'!$P$4,0),IF('Bobot CPMK'!$B$5='Peta CPL'!$A$15,'Bobot CPMK'!$P$5,0),IF('Bobot CPMK'!$B$6='Peta CPL'!$A$15,'Bobot CPMK'!$P$6,0),IF('Bobot CPMK'!$B$7='Peta CPL'!$A$15,'Bobot CPMK'!$P$7,0),IF('Bobot CPMK'!$B$8='Peta CPL'!$A$15,'Bobot CPMK'!$P$8,0),IF('Bobot CPMK'!$B$9='Peta CPL'!$A$15,'Bobot CPMK'!$P$9,0),IF('Bobot CPMK'!$B$10='Peta CPL'!$A$15,'Bobot CPMK'!$P$10,0),IF('Bobot CPMK'!$B$11='Peta CPL'!$A$15,'Bobot CPMK'!$P$11,0)),""))</f>
        <v/>
      </c>
      <c r="N23" s="7">
        <f>IF(OR($B23="",'Peta CPL'!$A$16=""),"",IFERROR(SUM(IF('Bobot CPMK'!$B$4='Peta CPL'!$A$16,N(D23)*'Bobot CPMK'!$P$4,0),IF('Bobot CPMK'!$B$5='Peta CPL'!$A$16,N(E23)*'Bobot CPMK'!$P$5,0),IF('Bobot CPMK'!$B$6='Peta CPL'!$A$16,N(F23)*'Bobot CPMK'!$P$6,0),IF('Bobot CPMK'!$B$7='Peta CPL'!$A$16,N(G23)*'Bobot CPMK'!$P$7,0),IF('Bobot CPMK'!$B$8='Peta CPL'!$A$16,N(H23)*'Bobot CPMK'!$P$8,0),IF('Bobot CPMK'!$B$9='Peta CPL'!$A$16,N(I23)*'Bobot CPMK'!$P$9,0),IF('Bobot CPMK'!$B$10='Peta CPL'!$A$16,N(J23)*'Bobot CPMK'!$P$10,0),IF('Bobot CPMK'!$B$11='Peta CPL'!$A$16,N(K23)*'Bobot CPMK'!$P$11,0))/SUM(IF('Bobot CPMK'!$B$4='Peta CPL'!$A$16,'Bobot CPMK'!$P$4,0),IF('Bobot CPMK'!$B$5='Peta CPL'!$A$16,'Bobot CPMK'!$P$5,0),IF('Bobot CPMK'!$B$6='Peta CPL'!$A$16,'Bobot CPMK'!$P$6,0),IF('Bobot CPMK'!$B$7='Peta CPL'!$A$16,'Bobot CPMK'!$P$7,0),IF('Bobot CPMK'!$B$8='Peta CPL'!$A$16,'Bobot CPMK'!$P$8,0),IF('Bobot CPMK'!$B$9='Peta CPL'!$A$16,'Bobot CPMK'!$P$9,0),IF('Bobot CPMK'!$B$10='Peta CPL'!$A$16,'Bobot CPMK'!$P$10,0),IF('Bobot CPMK'!$B$11='Peta CPL'!$A$16,'Bobot CPMK'!$P$11,0)),""))</f>
        <v/>
      </c>
      <c r="O23" s="7">
        <f>IF(OR($B23="",'Peta CPL'!$A$17=""),"",IFERROR(SUM(IF('Bobot CPMK'!$B$4='Peta CPL'!$A$17,N(D23)*'Bobot CPMK'!$P$4,0),IF('Bobot CPMK'!$B$5='Peta CPL'!$A$17,N(E23)*'Bobot CPMK'!$P$5,0),IF('Bobot CPMK'!$B$6='Peta CPL'!$A$17,N(F23)*'Bobot CPMK'!$P$6,0),IF('Bobot CPMK'!$B$7='Peta CPL'!$A$17,N(G23)*'Bobot CPMK'!$P$7,0),IF('Bobot CPMK'!$B$8='Peta CPL'!$A$17,N(H23)*'Bobot CPMK'!$P$8,0),IF('Bobot CPMK'!$B$9='Peta CPL'!$A$17,N(I23)*'Bobot CPMK'!$P$9,0),IF('Bobot CPMK'!$B$10='Peta CPL'!$A$17,N(J23)*'Bobot CPMK'!$P$10,0),IF('Bobot CPMK'!$B$11='Peta CPL'!$A$17,N(K23)*'Bobot CPMK'!$P$11,0))/SUM(IF('Bobot CPMK'!$B$4='Peta CPL'!$A$17,'Bobot CPMK'!$P$4,0),IF('Bobot CPMK'!$B$5='Peta CPL'!$A$17,'Bobot CPMK'!$P$5,0),IF('Bobot CPMK'!$B$6='Peta CPL'!$A$17,'Bobot CPMK'!$P$6,0),IF('Bobot CPMK'!$B$7='Peta CPL'!$A$17,'Bobot CPMK'!$P$7,0),IF('Bobot CPMK'!$B$8='Peta CPL'!$A$17,'Bobot CPMK'!$P$8,0),IF('Bobot CPMK'!$B$9='Peta CPL'!$A$17,'Bobot CPMK'!$P$9,0),IF('Bobot CPMK'!$B$10='Peta CPL'!$A$17,'Bobot CPMK'!$P$10,0),IF('Bobot CPMK'!$B$11='Peta CPL'!$A$17,'Bobot CPMK'!$P$11,0)),""))</f>
        <v/>
      </c>
      <c r="P23" s="7">
        <f>IF(OR($B23="",'Peta CPL'!$A$18=""),"",IFERROR(SUM(IF('Bobot CPMK'!$B$4='Peta CPL'!$A$18,N(D23)*'Bobot CPMK'!$P$4,0),IF('Bobot CPMK'!$B$5='Peta CPL'!$A$18,N(E23)*'Bobot CPMK'!$P$5,0),IF('Bobot CPMK'!$B$6='Peta CPL'!$A$18,N(F23)*'Bobot CPMK'!$P$6,0),IF('Bobot CPMK'!$B$7='Peta CPL'!$A$18,N(G23)*'Bobot CPMK'!$P$7,0),IF('Bobot CPMK'!$B$8='Peta CPL'!$A$18,N(H23)*'Bobot CPMK'!$P$8,0),IF('Bobot CPMK'!$B$9='Peta CPL'!$A$18,N(I23)*'Bobot CPMK'!$P$9,0),IF('Bobot CPMK'!$B$10='Peta CPL'!$A$18,N(J23)*'Bobot CPMK'!$P$10,0),IF('Bobot CPMK'!$B$11='Peta CPL'!$A$18,N(K23)*'Bobot CPMK'!$P$11,0))/SUM(IF('Bobot CPMK'!$B$4='Peta CPL'!$A$18,'Bobot CPMK'!$P$4,0),IF('Bobot CPMK'!$B$5='Peta CPL'!$A$18,'Bobot CPMK'!$P$5,0),IF('Bobot CPMK'!$B$6='Peta CPL'!$A$18,'Bobot CPMK'!$P$6,0),IF('Bobot CPMK'!$B$7='Peta CPL'!$A$18,'Bobot CPMK'!$P$7,0),IF('Bobot CPMK'!$B$8='Peta CPL'!$A$18,'Bobot CPMK'!$P$8,0),IF('Bobot CPMK'!$B$9='Peta CPL'!$A$18,'Bobot CPMK'!$P$9,0),IF('Bobot CPMK'!$B$10='Peta CPL'!$A$18,'Bobot CPMK'!$P$10,0),IF('Bobot CPMK'!$B$11='Peta CPL'!$A$18,'Bobot CPMK'!$P$11,0)),""))</f>
        <v/>
      </c>
      <c r="Q23" s="7">
        <f>IF(OR($B23="",'Peta CPL'!$A$19=""),"",IFERROR(SUM(IF('Bobot CPMK'!$B$4='Peta CPL'!$A$19,N(D23)*'Bobot CPMK'!$P$4,0),IF('Bobot CPMK'!$B$5='Peta CPL'!$A$19,N(E23)*'Bobot CPMK'!$P$5,0),IF('Bobot CPMK'!$B$6='Peta CPL'!$A$19,N(F23)*'Bobot CPMK'!$P$6,0),IF('Bobot CPMK'!$B$7='Peta CPL'!$A$19,N(G23)*'Bobot CPMK'!$P$7,0),IF('Bobot CPMK'!$B$8='Peta CPL'!$A$19,N(H23)*'Bobot CPMK'!$P$8,0),IF('Bobot CPMK'!$B$9='Peta CPL'!$A$19,N(I23)*'Bobot CPMK'!$P$9,0),IF('Bobot CPMK'!$B$10='Peta CPL'!$A$19,N(J23)*'Bobot CPMK'!$P$10,0),IF('Bobot CPMK'!$B$11='Peta CPL'!$A$19,N(K23)*'Bobot CPMK'!$P$11,0))/SUM(IF('Bobot CPMK'!$B$4='Peta CPL'!$A$19,'Bobot CPMK'!$P$4,0),IF('Bobot CPMK'!$B$5='Peta CPL'!$A$19,'Bobot CPMK'!$P$5,0),IF('Bobot CPMK'!$B$6='Peta CPL'!$A$19,'Bobot CPMK'!$P$6,0),IF('Bobot CPMK'!$B$7='Peta CPL'!$A$19,'Bobot CPMK'!$P$7,0),IF('Bobot CPMK'!$B$8='Peta CPL'!$A$19,'Bobot CPMK'!$P$8,0),IF('Bobot CPMK'!$B$9='Peta CPL'!$A$19,'Bobot CPMK'!$P$9,0),IF('Bobot CPMK'!$B$10='Peta CPL'!$A$19,'Bobot CPMK'!$P$10,0),IF('Bobot CPMK'!$B$11='Peta CPL'!$A$19,'Bobot CPMK'!$P$11,0)),""))</f>
        <v/>
      </c>
      <c r="R23" s="7">
        <f>IF(OR($B23="",'Peta CPL'!$A$20=""),"",IFERROR(SUM(IF('Bobot CPMK'!$B$4='Peta CPL'!$A$20,N(D23)*'Bobot CPMK'!$P$4,0),IF('Bobot CPMK'!$B$5='Peta CPL'!$A$20,N(E23)*'Bobot CPMK'!$P$5,0),IF('Bobot CPMK'!$B$6='Peta CPL'!$A$20,N(F23)*'Bobot CPMK'!$P$6,0),IF('Bobot CPMK'!$B$7='Peta CPL'!$A$20,N(G23)*'Bobot CPMK'!$P$7,0),IF('Bobot CPMK'!$B$8='Peta CPL'!$A$20,N(H23)*'Bobot CPMK'!$P$8,0),IF('Bobot CPMK'!$B$9='Peta CPL'!$A$20,N(I23)*'Bobot CPMK'!$P$9,0),IF('Bobot CPMK'!$B$10='Peta CPL'!$A$20,N(J23)*'Bobot CPMK'!$P$10,0),IF('Bobot CPMK'!$B$11='Peta CPL'!$A$20,N(K23)*'Bobot CPMK'!$P$11,0))/SUM(IF('Bobot CPMK'!$B$4='Peta CPL'!$A$20,'Bobot CPMK'!$P$4,0),IF('Bobot CPMK'!$B$5='Peta CPL'!$A$20,'Bobot CPMK'!$P$5,0),IF('Bobot CPMK'!$B$6='Peta CPL'!$A$20,'Bobot CPMK'!$P$6,0),IF('Bobot CPMK'!$B$7='Peta CPL'!$A$20,'Bobot CPMK'!$P$7,0),IF('Bobot CPMK'!$B$8='Peta CPL'!$A$20,'Bobot CPMK'!$P$8,0),IF('Bobot CPMK'!$B$9='Peta CPL'!$A$20,'Bobot CPMK'!$P$9,0),IF('Bobot CPMK'!$B$10='Peta CPL'!$A$20,'Bobot CPMK'!$P$10,0),IF('Bobot CPMK'!$B$11='Peta CPL'!$A$20,'Bobot CPMK'!$P$11,0)),""))</f>
        <v/>
      </c>
      <c r="S23" s="7">
        <f>IF(OR($B23="",'Peta CPL'!$A$21=""),"",IFERROR(SUM(IF('Bobot CPMK'!$B$4='Peta CPL'!$A$21,N(D23)*'Bobot CPMK'!$P$4,0),IF('Bobot CPMK'!$B$5='Peta CPL'!$A$21,N(E23)*'Bobot CPMK'!$P$5,0),IF('Bobot CPMK'!$B$6='Peta CPL'!$A$21,N(F23)*'Bobot CPMK'!$P$6,0),IF('Bobot CPMK'!$B$7='Peta CPL'!$A$21,N(G23)*'Bobot CPMK'!$P$7,0),IF('Bobot CPMK'!$B$8='Peta CPL'!$A$21,N(H23)*'Bobot CPMK'!$P$8,0),IF('Bobot CPMK'!$B$9='Peta CPL'!$A$21,N(I23)*'Bobot CPMK'!$P$9,0),IF('Bobot CPMK'!$B$10='Peta CPL'!$A$21,N(J23)*'Bobot CPMK'!$P$10,0),IF('Bobot CPMK'!$B$11='Peta CPL'!$A$21,N(K23)*'Bobot CPMK'!$P$11,0))/SUM(IF('Bobot CPMK'!$B$4='Peta CPL'!$A$21,'Bobot CPMK'!$P$4,0),IF('Bobot CPMK'!$B$5='Peta CPL'!$A$21,'Bobot CPMK'!$P$5,0),IF('Bobot CPMK'!$B$6='Peta CPL'!$A$21,'Bobot CPMK'!$P$6,0),IF('Bobot CPMK'!$B$7='Peta CPL'!$A$21,'Bobot CPMK'!$P$7,0),IF('Bobot CPMK'!$B$8='Peta CPL'!$A$21,'Bobot CPMK'!$P$8,0),IF('Bobot CPMK'!$B$9='Peta CPL'!$A$21,'Bobot CPMK'!$P$9,0),IF('Bobot CPMK'!$B$10='Peta CPL'!$A$21,'Bobot CPMK'!$P$10,0),IF('Bobot CPMK'!$B$11='Peta CPL'!$A$21,'Bobot CPMK'!$P$11,0)),""))</f>
        <v/>
      </c>
      <c r="T23" s="7">
        <f>IF(OR($B23="",'Peta CPL'!$A$5=""),"",IFERROR((N(L23)*N('Peta CPL'!$C$14)*N('Peta CPL'!$D$14)+N(M23)*N('Peta CPL'!$C$15)*N('Peta CPL'!$D$15)+N(N23)*N('Peta CPL'!$C$16)*N('Peta CPL'!$D$16)+N(O23)*N('Peta CPL'!$C$17)*N('Peta CPL'!$D$17)+N(P23)*N('Peta CPL'!$C$18)*N('Peta CPL'!$D$18)+N(Q23)*N('Peta CPL'!$C$19)*N('Peta CPL'!$D$19)+N(R23)*N('Peta CPL'!$C$20)*N('Peta CPL'!$D$20)+N(S23)*N('Peta CPL'!$C$21)*N('Peta CPL'!$D$21))/(N('Peta CPL'!$C$14)*N('Peta CPL'!$D$14)+N('Peta CPL'!$C$15)*N('Peta CPL'!$D$15)+N('Peta CPL'!$C$16)*N('Peta CPL'!$D$16)+N('Peta CPL'!$C$17)*N('Peta CPL'!$D$17)+N('Peta CPL'!$C$18)*N('Peta CPL'!$D$18)+N('Peta CPL'!$C$19)*N('Peta CPL'!$D$19)+N('Peta CPL'!$C$20)*N('Peta CPL'!$D$20)+N('Peta CPL'!$C$21)*N('Peta CPL'!$D$21)),""))</f>
        <v/>
      </c>
      <c r="U23" s="7">
        <f>IF(OR($B23="",'Peta CPL'!$A$6=""),"",IFERROR((N(L23)*N('Peta CPL'!$C$14)*N('Peta CPL'!$E$14)+N(M23)*N('Peta CPL'!$C$15)*N('Peta CPL'!$E$15)+N(N23)*N('Peta CPL'!$C$16)*N('Peta CPL'!$E$16)+N(O23)*N('Peta CPL'!$C$17)*N('Peta CPL'!$E$17)+N(P23)*N('Peta CPL'!$C$18)*N('Peta CPL'!$E$18)+N(Q23)*N('Peta CPL'!$C$19)*N('Peta CPL'!$E$19)+N(R23)*N('Peta CPL'!$C$20)*N('Peta CPL'!$E$20)+N(S23)*N('Peta CPL'!$C$21)*N('Peta CPL'!$E$21))/(N('Peta CPL'!$C$14)*N('Peta CPL'!$E$14)+N('Peta CPL'!$C$15)*N('Peta CPL'!$E$15)+N('Peta CPL'!$C$16)*N('Peta CPL'!$E$16)+N('Peta CPL'!$C$17)*N('Peta CPL'!$E$17)+N('Peta CPL'!$C$18)*N('Peta CPL'!$E$18)+N('Peta CPL'!$C$19)*N('Peta CPL'!$E$19)+N('Peta CPL'!$C$20)*N('Peta CPL'!$E$20)+N('Peta CPL'!$C$21)*N('Peta CPL'!$E$21)),""))</f>
        <v/>
      </c>
      <c r="V23" s="7">
        <f>IF(OR($B23="",'Peta CPL'!$A$7=""),"",IFERROR((N(L23)*N('Peta CPL'!$C$14)*N('Peta CPL'!$F$14)+N(M23)*N('Peta CPL'!$C$15)*N('Peta CPL'!$F$15)+N(N23)*N('Peta CPL'!$C$16)*N('Peta CPL'!$F$16)+N(O23)*N('Peta CPL'!$C$17)*N('Peta CPL'!$F$17)+N(P23)*N('Peta CPL'!$C$18)*N('Peta CPL'!$F$18)+N(Q23)*N('Peta CPL'!$C$19)*N('Peta CPL'!$F$19)+N(R23)*N('Peta CPL'!$C$20)*N('Peta CPL'!$F$20)+N(S23)*N('Peta CPL'!$C$21)*N('Peta CPL'!$F$21))/(N('Peta CPL'!$C$14)*N('Peta CPL'!$F$14)+N('Peta CPL'!$C$15)*N('Peta CPL'!$F$15)+N('Peta CPL'!$C$16)*N('Peta CPL'!$F$16)+N('Peta CPL'!$C$17)*N('Peta CPL'!$F$17)+N('Peta CPL'!$C$18)*N('Peta CPL'!$F$18)+N('Peta CPL'!$C$19)*N('Peta CPL'!$F$19)+N('Peta CPL'!$C$20)*N('Peta CPL'!$F$20)+N('Peta CPL'!$C$21)*N('Peta CPL'!$F$21)),""))</f>
        <v/>
      </c>
      <c r="W23" s="7">
        <f>IF(OR($B23="",'Peta CPL'!$A$8=""),"",IFERROR((N(L23)*N('Peta CPL'!$C$14)*N('Peta CPL'!$G$14)+N(M23)*N('Peta CPL'!$C$15)*N('Peta CPL'!$G$15)+N(N23)*N('Peta CPL'!$C$16)*N('Peta CPL'!$G$16)+N(O23)*N('Peta CPL'!$C$17)*N('Peta CPL'!$G$17)+N(P23)*N('Peta CPL'!$C$18)*N('Peta CPL'!$G$18)+N(Q23)*N('Peta CPL'!$C$19)*N('Peta CPL'!$G$19)+N(R23)*N('Peta CPL'!$C$20)*N('Peta CPL'!$G$20)+N(S23)*N('Peta CPL'!$C$21)*N('Peta CPL'!$G$21))/(N('Peta CPL'!$C$14)*N('Peta CPL'!$G$14)+N('Peta CPL'!$C$15)*N('Peta CPL'!$G$15)+N('Peta CPL'!$C$16)*N('Peta CPL'!$G$16)+N('Peta CPL'!$C$17)*N('Peta CPL'!$G$17)+N('Peta CPL'!$C$18)*N('Peta CPL'!$G$18)+N('Peta CPL'!$C$19)*N('Peta CPL'!$G$19)+N('Peta CPL'!$C$20)*N('Peta CPL'!$G$20)+N('Peta CPL'!$C$21)*N('Peta CPL'!$G$21)),""))</f>
        <v/>
      </c>
      <c r="X23" s="7">
        <f>IF(OR($B23="",'Peta CPL'!$A$9=""),"",IFERROR((N(L23)*N('Peta CPL'!$C$14)*N('Peta CPL'!$H$14)+N(M23)*N('Peta CPL'!$C$15)*N('Peta CPL'!$H$15)+N(N23)*N('Peta CPL'!$C$16)*N('Peta CPL'!$H$16)+N(O23)*N('Peta CPL'!$C$17)*N('Peta CPL'!$H$17)+N(P23)*N('Peta CPL'!$C$18)*N('Peta CPL'!$H$18)+N(Q23)*N('Peta CPL'!$C$19)*N('Peta CPL'!$H$19)+N(R23)*N('Peta CPL'!$C$20)*N('Peta CPL'!$H$20)+N(S23)*N('Peta CPL'!$C$21)*N('Peta CPL'!$H$21))/(N('Peta CPL'!$C$14)*N('Peta CPL'!$H$14)+N('Peta CPL'!$C$15)*N('Peta CPL'!$H$15)+N('Peta CPL'!$C$16)*N('Peta CPL'!$H$16)+N('Peta CPL'!$C$17)*N('Peta CPL'!$H$17)+N('Peta CPL'!$C$18)*N('Peta CPL'!$H$18)+N('Peta CPL'!$C$19)*N('Peta CPL'!$H$19)+N('Peta CPL'!$C$20)*N('Peta CPL'!$H$20)+N('Peta CPL'!$C$21)*N('Peta CPL'!$H$21)),""))</f>
        <v/>
      </c>
      <c r="Y23" s="7">
        <f>IF(OR($B23="",'Peta CPL'!$A$10=""),"",IFERROR((N(L23)*N('Peta CPL'!$C$14)*N('Peta CPL'!$I$14)+N(M23)*N('Peta CPL'!$C$15)*N('Peta CPL'!$I$15)+N(N23)*N('Peta CPL'!$C$16)*N('Peta CPL'!$I$16)+N(O23)*N('Peta CPL'!$C$17)*N('Peta CPL'!$I$17)+N(P23)*N('Peta CPL'!$C$18)*N('Peta CPL'!$I$18)+N(Q23)*N('Peta CPL'!$C$19)*N('Peta CPL'!$I$19)+N(R23)*N('Peta CPL'!$C$20)*N('Peta CPL'!$I$20)+N(S23)*N('Peta CPL'!$C$21)*N('Peta CPL'!$I$21))/(N('Peta CPL'!$C$14)*N('Peta CPL'!$I$14)+N('Peta CPL'!$C$15)*N('Peta CPL'!$I$15)+N('Peta CPL'!$C$16)*N('Peta CPL'!$I$16)+N('Peta CPL'!$C$17)*N('Peta CPL'!$I$17)+N('Peta CPL'!$C$18)*N('Peta CPL'!$I$18)+N('Peta CPL'!$C$19)*N('Peta CPL'!$I$19)+N('Peta CPL'!$C$20)*N('Peta CPL'!$I$20)+N('Peta CPL'!$C$21)*N('Peta CPL'!$I$21)),""))</f>
        <v/>
      </c>
      <c r="Z23" s="7">
        <f>IF($B23="","",IFERROR((N(L23)*N('Peta CPL'!$C$14)+N(M23)*N('Peta CPL'!$C$15)+N(N23)*N('Peta CPL'!$C$16)+N(O23)*N('Peta CPL'!$C$17)+N(P23)*N('Peta CPL'!$C$18)+N(Q23)*N('Peta CPL'!$C$19)+N(R23)*N('Peta CPL'!$C$20)+N(S23)*N('Peta CPL'!$C$21))/100,""))</f>
        <v/>
      </c>
    </row>
    <row r="24">
      <c r="A24" s="7">
        <f>'Input Nilai'!A24</f>
        <v/>
      </c>
      <c r="B24" s="7">
        <f>'Input Nilai'!B24</f>
        <v/>
      </c>
      <c r="C24" s="15">
        <f>'Input Nilai'!C24</f>
        <v/>
      </c>
      <c r="D24" s="7">
        <f>IF(OR('Input Nilai'!$B24="",'Bobot CPMK'!$O$4=0),"",(SUMPRODUCT('Input Nilai'!D24:L24,'Bobot CPMK'!$E$4:$M$4)+'Input Nilai'!$BX24*'Bobot CPMK'!$N$4)/'Bobot CPMK'!$O$4)</f>
        <v/>
      </c>
      <c r="E24" s="7">
        <f>IF(OR('Input Nilai'!$B24="",'Bobot CPMK'!$O$5=0),"",(SUMPRODUCT('Input Nilai'!M24:U24,'Bobot CPMK'!$E$5:$M$5)+'Input Nilai'!$BX24*'Bobot CPMK'!$N$5)/'Bobot CPMK'!$O$5)</f>
        <v/>
      </c>
      <c r="F24" s="7">
        <f>IF(OR('Input Nilai'!$B24="",'Bobot CPMK'!$O$6=0),"",(SUMPRODUCT('Input Nilai'!V24:AD24,'Bobot CPMK'!$E$6:$M$6)+'Input Nilai'!$BX24*'Bobot CPMK'!$N$6)/'Bobot CPMK'!$O$6)</f>
        <v/>
      </c>
      <c r="G24" s="7">
        <f>IF(OR('Input Nilai'!$B24="",'Bobot CPMK'!$O$7=0),"",(SUMPRODUCT('Input Nilai'!AE24:AM24,'Bobot CPMK'!$E$7:$M$7)+'Input Nilai'!$BX24*'Bobot CPMK'!$N$7)/'Bobot CPMK'!$O$7)</f>
        <v/>
      </c>
      <c r="H24" s="7">
        <f>IF(OR('Input Nilai'!$B24="",'Bobot CPMK'!$O$8=0),"",(SUMPRODUCT('Input Nilai'!AN24:AV24,'Bobot CPMK'!$E$8:$M$8)+'Input Nilai'!$BX24*'Bobot CPMK'!$N$8)/'Bobot CPMK'!$O$8)</f>
        <v/>
      </c>
      <c r="I24" s="7">
        <f>IF(OR('Input Nilai'!$B24="",'Bobot CPMK'!$O$9=0),"",(SUMPRODUCT('Input Nilai'!AW24:BE24,'Bobot CPMK'!$E$9:$M$9)+'Input Nilai'!$BX24*'Bobot CPMK'!$N$9)/'Bobot CPMK'!$O$9)</f>
        <v/>
      </c>
      <c r="J24" s="7">
        <f>IF(OR('Input Nilai'!$B24="",'Bobot CPMK'!$O$10=0),"",(SUMPRODUCT('Input Nilai'!BF24:BN24,'Bobot CPMK'!$E$10:$M$10)+'Input Nilai'!$BX24*'Bobot CPMK'!$N$10)/'Bobot CPMK'!$O$10)</f>
        <v/>
      </c>
      <c r="K24" s="7">
        <f>IF(OR('Input Nilai'!$B24="",'Bobot CPMK'!$O$11=0),"",(SUMPRODUCT('Input Nilai'!BO24:BW24,'Bobot CPMK'!$E$11:$M$11)+'Input Nilai'!$BX24*'Bobot CPMK'!$N$11)/'Bobot CPMK'!$O$11)</f>
        <v/>
      </c>
      <c r="L24" s="7">
        <f>IF(OR($B24="",'Peta CPL'!$A$14=""),"",IFERROR(SUM(IF('Bobot CPMK'!$B$4='Peta CPL'!$A$14,N(D24)*'Bobot CPMK'!$P$4,0),IF('Bobot CPMK'!$B$5='Peta CPL'!$A$14,N(E24)*'Bobot CPMK'!$P$5,0),IF('Bobot CPMK'!$B$6='Peta CPL'!$A$14,N(F24)*'Bobot CPMK'!$P$6,0),IF('Bobot CPMK'!$B$7='Peta CPL'!$A$14,N(G24)*'Bobot CPMK'!$P$7,0),IF('Bobot CPMK'!$B$8='Peta CPL'!$A$14,N(H24)*'Bobot CPMK'!$P$8,0),IF('Bobot CPMK'!$B$9='Peta CPL'!$A$14,N(I24)*'Bobot CPMK'!$P$9,0),IF('Bobot CPMK'!$B$10='Peta CPL'!$A$14,N(J24)*'Bobot CPMK'!$P$10,0),IF('Bobot CPMK'!$B$11='Peta CPL'!$A$14,N(K24)*'Bobot CPMK'!$P$11,0))/SUM(IF('Bobot CPMK'!$B$4='Peta CPL'!$A$14,'Bobot CPMK'!$P$4,0),IF('Bobot CPMK'!$B$5='Peta CPL'!$A$14,'Bobot CPMK'!$P$5,0),IF('Bobot CPMK'!$B$6='Peta CPL'!$A$14,'Bobot CPMK'!$P$6,0),IF('Bobot CPMK'!$B$7='Peta CPL'!$A$14,'Bobot CPMK'!$P$7,0),IF('Bobot CPMK'!$B$8='Peta CPL'!$A$14,'Bobot CPMK'!$P$8,0),IF('Bobot CPMK'!$B$9='Peta CPL'!$A$14,'Bobot CPMK'!$P$9,0),IF('Bobot CPMK'!$B$10='Peta CPL'!$A$14,'Bobot CPMK'!$P$10,0),IF('Bobot CPMK'!$B$11='Peta CPL'!$A$14,'Bobot CPMK'!$P$11,0)),""))</f>
        <v/>
      </c>
      <c r="M24" s="7">
        <f>IF(OR($B24="",'Peta CPL'!$A$15=""),"",IFERROR(SUM(IF('Bobot CPMK'!$B$4='Peta CPL'!$A$15,N(D24)*'Bobot CPMK'!$P$4,0),IF('Bobot CPMK'!$B$5='Peta CPL'!$A$15,N(E24)*'Bobot CPMK'!$P$5,0),IF('Bobot CPMK'!$B$6='Peta CPL'!$A$15,N(F24)*'Bobot CPMK'!$P$6,0),IF('Bobot CPMK'!$B$7='Peta CPL'!$A$15,N(G24)*'Bobot CPMK'!$P$7,0),IF('Bobot CPMK'!$B$8='Peta CPL'!$A$15,N(H24)*'Bobot CPMK'!$P$8,0),IF('Bobot CPMK'!$B$9='Peta CPL'!$A$15,N(I24)*'Bobot CPMK'!$P$9,0),IF('Bobot CPMK'!$B$10='Peta CPL'!$A$15,N(J24)*'Bobot CPMK'!$P$10,0),IF('Bobot CPMK'!$B$11='Peta CPL'!$A$15,N(K24)*'Bobot CPMK'!$P$11,0))/SUM(IF('Bobot CPMK'!$B$4='Peta CPL'!$A$15,'Bobot CPMK'!$P$4,0),IF('Bobot CPMK'!$B$5='Peta CPL'!$A$15,'Bobot CPMK'!$P$5,0),IF('Bobot CPMK'!$B$6='Peta CPL'!$A$15,'Bobot CPMK'!$P$6,0),IF('Bobot CPMK'!$B$7='Peta CPL'!$A$15,'Bobot CPMK'!$P$7,0),IF('Bobot CPMK'!$B$8='Peta CPL'!$A$15,'Bobot CPMK'!$P$8,0),IF('Bobot CPMK'!$B$9='Peta CPL'!$A$15,'Bobot CPMK'!$P$9,0),IF('Bobot CPMK'!$B$10='Peta CPL'!$A$15,'Bobot CPMK'!$P$10,0),IF('Bobot CPMK'!$B$11='Peta CPL'!$A$15,'Bobot CPMK'!$P$11,0)),""))</f>
        <v/>
      </c>
      <c r="N24" s="7">
        <f>IF(OR($B24="",'Peta CPL'!$A$16=""),"",IFERROR(SUM(IF('Bobot CPMK'!$B$4='Peta CPL'!$A$16,N(D24)*'Bobot CPMK'!$P$4,0),IF('Bobot CPMK'!$B$5='Peta CPL'!$A$16,N(E24)*'Bobot CPMK'!$P$5,0),IF('Bobot CPMK'!$B$6='Peta CPL'!$A$16,N(F24)*'Bobot CPMK'!$P$6,0),IF('Bobot CPMK'!$B$7='Peta CPL'!$A$16,N(G24)*'Bobot CPMK'!$P$7,0),IF('Bobot CPMK'!$B$8='Peta CPL'!$A$16,N(H24)*'Bobot CPMK'!$P$8,0),IF('Bobot CPMK'!$B$9='Peta CPL'!$A$16,N(I24)*'Bobot CPMK'!$P$9,0),IF('Bobot CPMK'!$B$10='Peta CPL'!$A$16,N(J24)*'Bobot CPMK'!$P$10,0),IF('Bobot CPMK'!$B$11='Peta CPL'!$A$16,N(K24)*'Bobot CPMK'!$P$11,0))/SUM(IF('Bobot CPMK'!$B$4='Peta CPL'!$A$16,'Bobot CPMK'!$P$4,0),IF('Bobot CPMK'!$B$5='Peta CPL'!$A$16,'Bobot CPMK'!$P$5,0),IF('Bobot CPMK'!$B$6='Peta CPL'!$A$16,'Bobot CPMK'!$P$6,0),IF('Bobot CPMK'!$B$7='Peta CPL'!$A$16,'Bobot CPMK'!$P$7,0),IF('Bobot CPMK'!$B$8='Peta CPL'!$A$16,'Bobot CPMK'!$P$8,0),IF('Bobot CPMK'!$B$9='Peta CPL'!$A$16,'Bobot CPMK'!$P$9,0),IF('Bobot CPMK'!$B$10='Peta CPL'!$A$16,'Bobot CPMK'!$P$10,0),IF('Bobot CPMK'!$B$11='Peta CPL'!$A$16,'Bobot CPMK'!$P$11,0)),""))</f>
        <v/>
      </c>
      <c r="O24" s="7">
        <f>IF(OR($B24="",'Peta CPL'!$A$17=""),"",IFERROR(SUM(IF('Bobot CPMK'!$B$4='Peta CPL'!$A$17,N(D24)*'Bobot CPMK'!$P$4,0),IF('Bobot CPMK'!$B$5='Peta CPL'!$A$17,N(E24)*'Bobot CPMK'!$P$5,0),IF('Bobot CPMK'!$B$6='Peta CPL'!$A$17,N(F24)*'Bobot CPMK'!$P$6,0),IF('Bobot CPMK'!$B$7='Peta CPL'!$A$17,N(G24)*'Bobot CPMK'!$P$7,0),IF('Bobot CPMK'!$B$8='Peta CPL'!$A$17,N(H24)*'Bobot CPMK'!$P$8,0),IF('Bobot CPMK'!$B$9='Peta CPL'!$A$17,N(I24)*'Bobot CPMK'!$P$9,0),IF('Bobot CPMK'!$B$10='Peta CPL'!$A$17,N(J24)*'Bobot CPMK'!$P$10,0),IF('Bobot CPMK'!$B$11='Peta CPL'!$A$17,N(K24)*'Bobot CPMK'!$P$11,0))/SUM(IF('Bobot CPMK'!$B$4='Peta CPL'!$A$17,'Bobot CPMK'!$P$4,0),IF('Bobot CPMK'!$B$5='Peta CPL'!$A$17,'Bobot CPMK'!$P$5,0),IF('Bobot CPMK'!$B$6='Peta CPL'!$A$17,'Bobot CPMK'!$P$6,0),IF('Bobot CPMK'!$B$7='Peta CPL'!$A$17,'Bobot CPMK'!$P$7,0),IF('Bobot CPMK'!$B$8='Peta CPL'!$A$17,'Bobot CPMK'!$P$8,0),IF('Bobot CPMK'!$B$9='Peta CPL'!$A$17,'Bobot CPMK'!$P$9,0),IF('Bobot CPMK'!$B$10='Peta CPL'!$A$17,'Bobot CPMK'!$P$10,0),IF('Bobot CPMK'!$B$11='Peta CPL'!$A$17,'Bobot CPMK'!$P$11,0)),""))</f>
        <v/>
      </c>
      <c r="P24" s="7">
        <f>IF(OR($B24="",'Peta CPL'!$A$18=""),"",IFERROR(SUM(IF('Bobot CPMK'!$B$4='Peta CPL'!$A$18,N(D24)*'Bobot CPMK'!$P$4,0),IF('Bobot CPMK'!$B$5='Peta CPL'!$A$18,N(E24)*'Bobot CPMK'!$P$5,0),IF('Bobot CPMK'!$B$6='Peta CPL'!$A$18,N(F24)*'Bobot CPMK'!$P$6,0),IF('Bobot CPMK'!$B$7='Peta CPL'!$A$18,N(G24)*'Bobot CPMK'!$P$7,0),IF('Bobot CPMK'!$B$8='Peta CPL'!$A$18,N(H24)*'Bobot CPMK'!$P$8,0),IF('Bobot CPMK'!$B$9='Peta CPL'!$A$18,N(I24)*'Bobot CPMK'!$P$9,0),IF('Bobot CPMK'!$B$10='Peta CPL'!$A$18,N(J24)*'Bobot CPMK'!$P$10,0),IF('Bobot CPMK'!$B$11='Peta CPL'!$A$18,N(K24)*'Bobot CPMK'!$P$11,0))/SUM(IF('Bobot CPMK'!$B$4='Peta CPL'!$A$18,'Bobot CPMK'!$P$4,0),IF('Bobot CPMK'!$B$5='Peta CPL'!$A$18,'Bobot CPMK'!$P$5,0),IF('Bobot CPMK'!$B$6='Peta CPL'!$A$18,'Bobot CPMK'!$P$6,0),IF('Bobot CPMK'!$B$7='Peta CPL'!$A$18,'Bobot CPMK'!$P$7,0),IF('Bobot CPMK'!$B$8='Peta CPL'!$A$18,'Bobot CPMK'!$P$8,0),IF('Bobot CPMK'!$B$9='Peta CPL'!$A$18,'Bobot CPMK'!$P$9,0),IF('Bobot CPMK'!$B$10='Peta CPL'!$A$18,'Bobot CPMK'!$P$10,0),IF('Bobot CPMK'!$B$11='Peta CPL'!$A$18,'Bobot CPMK'!$P$11,0)),""))</f>
        <v/>
      </c>
      <c r="Q24" s="7">
        <f>IF(OR($B24="",'Peta CPL'!$A$19=""),"",IFERROR(SUM(IF('Bobot CPMK'!$B$4='Peta CPL'!$A$19,N(D24)*'Bobot CPMK'!$P$4,0),IF('Bobot CPMK'!$B$5='Peta CPL'!$A$19,N(E24)*'Bobot CPMK'!$P$5,0),IF('Bobot CPMK'!$B$6='Peta CPL'!$A$19,N(F24)*'Bobot CPMK'!$P$6,0),IF('Bobot CPMK'!$B$7='Peta CPL'!$A$19,N(G24)*'Bobot CPMK'!$P$7,0),IF('Bobot CPMK'!$B$8='Peta CPL'!$A$19,N(H24)*'Bobot CPMK'!$P$8,0),IF('Bobot CPMK'!$B$9='Peta CPL'!$A$19,N(I24)*'Bobot CPMK'!$P$9,0),IF('Bobot CPMK'!$B$10='Peta CPL'!$A$19,N(J24)*'Bobot CPMK'!$P$10,0),IF('Bobot CPMK'!$B$11='Peta CPL'!$A$19,N(K24)*'Bobot CPMK'!$P$11,0))/SUM(IF('Bobot CPMK'!$B$4='Peta CPL'!$A$19,'Bobot CPMK'!$P$4,0),IF('Bobot CPMK'!$B$5='Peta CPL'!$A$19,'Bobot CPMK'!$P$5,0),IF('Bobot CPMK'!$B$6='Peta CPL'!$A$19,'Bobot CPMK'!$P$6,0),IF('Bobot CPMK'!$B$7='Peta CPL'!$A$19,'Bobot CPMK'!$P$7,0),IF('Bobot CPMK'!$B$8='Peta CPL'!$A$19,'Bobot CPMK'!$P$8,0),IF('Bobot CPMK'!$B$9='Peta CPL'!$A$19,'Bobot CPMK'!$P$9,0),IF('Bobot CPMK'!$B$10='Peta CPL'!$A$19,'Bobot CPMK'!$P$10,0),IF('Bobot CPMK'!$B$11='Peta CPL'!$A$19,'Bobot CPMK'!$P$11,0)),""))</f>
        <v/>
      </c>
      <c r="R24" s="7">
        <f>IF(OR($B24="",'Peta CPL'!$A$20=""),"",IFERROR(SUM(IF('Bobot CPMK'!$B$4='Peta CPL'!$A$20,N(D24)*'Bobot CPMK'!$P$4,0),IF('Bobot CPMK'!$B$5='Peta CPL'!$A$20,N(E24)*'Bobot CPMK'!$P$5,0),IF('Bobot CPMK'!$B$6='Peta CPL'!$A$20,N(F24)*'Bobot CPMK'!$P$6,0),IF('Bobot CPMK'!$B$7='Peta CPL'!$A$20,N(G24)*'Bobot CPMK'!$P$7,0),IF('Bobot CPMK'!$B$8='Peta CPL'!$A$20,N(H24)*'Bobot CPMK'!$P$8,0),IF('Bobot CPMK'!$B$9='Peta CPL'!$A$20,N(I24)*'Bobot CPMK'!$P$9,0),IF('Bobot CPMK'!$B$10='Peta CPL'!$A$20,N(J24)*'Bobot CPMK'!$P$10,0),IF('Bobot CPMK'!$B$11='Peta CPL'!$A$20,N(K24)*'Bobot CPMK'!$P$11,0))/SUM(IF('Bobot CPMK'!$B$4='Peta CPL'!$A$20,'Bobot CPMK'!$P$4,0),IF('Bobot CPMK'!$B$5='Peta CPL'!$A$20,'Bobot CPMK'!$P$5,0),IF('Bobot CPMK'!$B$6='Peta CPL'!$A$20,'Bobot CPMK'!$P$6,0),IF('Bobot CPMK'!$B$7='Peta CPL'!$A$20,'Bobot CPMK'!$P$7,0),IF('Bobot CPMK'!$B$8='Peta CPL'!$A$20,'Bobot CPMK'!$P$8,0),IF('Bobot CPMK'!$B$9='Peta CPL'!$A$20,'Bobot CPMK'!$P$9,0),IF('Bobot CPMK'!$B$10='Peta CPL'!$A$20,'Bobot CPMK'!$P$10,0),IF('Bobot CPMK'!$B$11='Peta CPL'!$A$20,'Bobot CPMK'!$P$11,0)),""))</f>
        <v/>
      </c>
      <c r="S24" s="7">
        <f>IF(OR($B24="",'Peta CPL'!$A$21=""),"",IFERROR(SUM(IF('Bobot CPMK'!$B$4='Peta CPL'!$A$21,N(D24)*'Bobot CPMK'!$P$4,0),IF('Bobot CPMK'!$B$5='Peta CPL'!$A$21,N(E24)*'Bobot CPMK'!$P$5,0),IF('Bobot CPMK'!$B$6='Peta CPL'!$A$21,N(F24)*'Bobot CPMK'!$P$6,0),IF('Bobot CPMK'!$B$7='Peta CPL'!$A$21,N(G24)*'Bobot CPMK'!$P$7,0),IF('Bobot CPMK'!$B$8='Peta CPL'!$A$21,N(H24)*'Bobot CPMK'!$P$8,0),IF('Bobot CPMK'!$B$9='Peta CPL'!$A$21,N(I24)*'Bobot CPMK'!$P$9,0),IF('Bobot CPMK'!$B$10='Peta CPL'!$A$21,N(J24)*'Bobot CPMK'!$P$10,0),IF('Bobot CPMK'!$B$11='Peta CPL'!$A$21,N(K24)*'Bobot CPMK'!$P$11,0))/SUM(IF('Bobot CPMK'!$B$4='Peta CPL'!$A$21,'Bobot CPMK'!$P$4,0),IF('Bobot CPMK'!$B$5='Peta CPL'!$A$21,'Bobot CPMK'!$P$5,0),IF('Bobot CPMK'!$B$6='Peta CPL'!$A$21,'Bobot CPMK'!$P$6,0),IF('Bobot CPMK'!$B$7='Peta CPL'!$A$21,'Bobot CPMK'!$P$7,0),IF('Bobot CPMK'!$B$8='Peta CPL'!$A$21,'Bobot CPMK'!$P$8,0),IF('Bobot CPMK'!$B$9='Peta CPL'!$A$21,'Bobot CPMK'!$P$9,0),IF('Bobot CPMK'!$B$10='Peta CPL'!$A$21,'Bobot CPMK'!$P$10,0),IF('Bobot CPMK'!$B$11='Peta CPL'!$A$21,'Bobot CPMK'!$P$11,0)),""))</f>
        <v/>
      </c>
      <c r="T24" s="7">
        <f>IF(OR($B24="",'Peta CPL'!$A$5=""),"",IFERROR((N(L24)*N('Peta CPL'!$C$14)*N('Peta CPL'!$D$14)+N(M24)*N('Peta CPL'!$C$15)*N('Peta CPL'!$D$15)+N(N24)*N('Peta CPL'!$C$16)*N('Peta CPL'!$D$16)+N(O24)*N('Peta CPL'!$C$17)*N('Peta CPL'!$D$17)+N(P24)*N('Peta CPL'!$C$18)*N('Peta CPL'!$D$18)+N(Q24)*N('Peta CPL'!$C$19)*N('Peta CPL'!$D$19)+N(R24)*N('Peta CPL'!$C$20)*N('Peta CPL'!$D$20)+N(S24)*N('Peta CPL'!$C$21)*N('Peta CPL'!$D$21))/(N('Peta CPL'!$C$14)*N('Peta CPL'!$D$14)+N('Peta CPL'!$C$15)*N('Peta CPL'!$D$15)+N('Peta CPL'!$C$16)*N('Peta CPL'!$D$16)+N('Peta CPL'!$C$17)*N('Peta CPL'!$D$17)+N('Peta CPL'!$C$18)*N('Peta CPL'!$D$18)+N('Peta CPL'!$C$19)*N('Peta CPL'!$D$19)+N('Peta CPL'!$C$20)*N('Peta CPL'!$D$20)+N('Peta CPL'!$C$21)*N('Peta CPL'!$D$21)),""))</f>
        <v/>
      </c>
      <c r="U24" s="7">
        <f>IF(OR($B24="",'Peta CPL'!$A$6=""),"",IFERROR((N(L24)*N('Peta CPL'!$C$14)*N('Peta CPL'!$E$14)+N(M24)*N('Peta CPL'!$C$15)*N('Peta CPL'!$E$15)+N(N24)*N('Peta CPL'!$C$16)*N('Peta CPL'!$E$16)+N(O24)*N('Peta CPL'!$C$17)*N('Peta CPL'!$E$17)+N(P24)*N('Peta CPL'!$C$18)*N('Peta CPL'!$E$18)+N(Q24)*N('Peta CPL'!$C$19)*N('Peta CPL'!$E$19)+N(R24)*N('Peta CPL'!$C$20)*N('Peta CPL'!$E$20)+N(S24)*N('Peta CPL'!$C$21)*N('Peta CPL'!$E$21))/(N('Peta CPL'!$C$14)*N('Peta CPL'!$E$14)+N('Peta CPL'!$C$15)*N('Peta CPL'!$E$15)+N('Peta CPL'!$C$16)*N('Peta CPL'!$E$16)+N('Peta CPL'!$C$17)*N('Peta CPL'!$E$17)+N('Peta CPL'!$C$18)*N('Peta CPL'!$E$18)+N('Peta CPL'!$C$19)*N('Peta CPL'!$E$19)+N('Peta CPL'!$C$20)*N('Peta CPL'!$E$20)+N('Peta CPL'!$C$21)*N('Peta CPL'!$E$21)),""))</f>
        <v/>
      </c>
      <c r="V24" s="7">
        <f>IF(OR($B24="",'Peta CPL'!$A$7=""),"",IFERROR((N(L24)*N('Peta CPL'!$C$14)*N('Peta CPL'!$F$14)+N(M24)*N('Peta CPL'!$C$15)*N('Peta CPL'!$F$15)+N(N24)*N('Peta CPL'!$C$16)*N('Peta CPL'!$F$16)+N(O24)*N('Peta CPL'!$C$17)*N('Peta CPL'!$F$17)+N(P24)*N('Peta CPL'!$C$18)*N('Peta CPL'!$F$18)+N(Q24)*N('Peta CPL'!$C$19)*N('Peta CPL'!$F$19)+N(R24)*N('Peta CPL'!$C$20)*N('Peta CPL'!$F$20)+N(S24)*N('Peta CPL'!$C$21)*N('Peta CPL'!$F$21))/(N('Peta CPL'!$C$14)*N('Peta CPL'!$F$14)+N('Peta CPL'!$C$15)*N('Peta CPL'!$F$15)+N('Peta CPL'!$C$16)*N('Peta CPL'!$F$16)+N('Peta CPL'!$C$17)*N('Peta CPL'!$F$17)+N('Peta CPL'!$C$18)*N('Peta CPL'!$F$18)+N('Peta CPL'!$C$19)*N('Peta CPL'!$F$19)+N('Peta CPL'!$C$20)*N('Peta CPL'!$F$20)+N('Peta CPL'!$C$21)*N('Peta CPL'!$F$21)),""))</f>
        <v/>
      </c>
      <c r="W24" s="7">
        <f>IF(OR($B24="",'Peta CPL'!$A$8=""),"",IFERROR((N(L24)*N('Peta CPL'!$C$14)*N('Peta CPL'!$G$14)+N(M24)*N('Peta CPL'!$C$15)*N('Peta CPL'!$G$15)+N(N24)*N('Peta CPL'!$C$16)*N('Peta CPL'!$G$16)+N(O24)*N('Peta CPL'!$C$17)*N('Peta CPL'!$G$17)+N(P24)*N('Peta CPL'!$C$18)*N('Peta CPL'!$G$18)+N(Q24)*N('Peta CPL'!$C$19)*N('Peta CPL'!$G$19)+N(R24)*N('Peta CPL'!$C$20)*N('Peta CPL'!$G$20)+N(S24)*N('Peta CPL'!$C$21)*N('Peta CPL'!$G$21))/(N('Peta CPL'!$C$14)*N('Peta CPL'!$G$14)+N('Peta CPL'!$C$15)*N('Peta CPL'!$G$15)+N('Peta CPL'!$C$16)*N('Peta CPL'!$G$16)+N('Peta CPL'!$C$17)*N('Peta CPL'!$G$17)+N('Peta CPL'!$C$18)*N('Peta CPL'!$G$18)+N('Peta CPL'!$C$19)*N('Peta CPL'!$G$19)+N('Peta CPL'!$C$20)*N('Peta CPL'!$G$20)+N('Peta CPL'!$C$21)*N('Peta CPL'!$G$21)),""))</f>
        <v/>
      </c>
      <c r="X24" s="7">
        <f>IF(OR($B24="",'Peta CPL'!$A$9=""),"",IFERROR((N(L24)*N('Peta CPL'!$C$14)*N('Peta CPL'!$H$14)+N(M24)*N('Peta CPL'!$C$15)*N('Peta CPL'!$H$15)+N(N24)*N('Peta CPL'!$C$16)*N('Peta CPL'!$H$16)+N(O24)*N('Peta CPL'!$C$17)*N('Peta CPL'!$H$17)+N(P24)*N('Peta CPL'!$C$18)*N('Peta CPL'!$H$18)+N(Q24)*N('Peta CPL'!$C$19)*N('Peta CPL'!$H$19)+N(R24)*N('Peta CPL'!$C$20)*N('Peta CPL'!$H$20)+N(S24)*N('Peta CPL'!$C$21)*N('Peta CPL'!$H$21))/(N('Peta CPL'!$C$14)*N('Peta CPL'!$H$14)+N('Peta CPL'!$C$15)*N('Peta CPL'!$H$15)+N('Peta CPL'!$C$16)*N('Peta CPL'!$H$16)+N('Peta CPL'!$C$17)*N('Peta CPL'!$H$17)+N('Peta CPL'!$C$18)*N('Peta CPL'!$H$18)+N('Peta CPL'!$C$19)*N('Peta CPL'!$H$19)+N('Peta CPL'!$C$20)*N('Peta CPL'!$H$20)+N('Peta CPL'!$C$21)*N('Peta CPL'!$H$21)),""))</f>
        <v/>
      </c>
      <c r="Y24" s="7">
        <f>IF(OR($B24="",'Peta CPL'!$A$10=""),"",IFERROR((N(L24)*N('Peta CPL'!$C$14)*N('Peta CPL'!$I$14)+N(M24)*N('Peta CPL'!$C$15)*N('Peta CPL'!$I$15)+N(N24)*N('Peta CPL'!$C$16)*N('Peta CPL'!$I$16)+N(O24)*N('Peta CPL'!$C$17)*N('Peta CPL'!$I$17)+N(P24)*N('Peta CPL'!$C$18)*N('Peta CPL'!$I$18)+N(Q24)*N('Peta CPL'!$C$19)*N('Peta CPL'!$I$19)+N(R24)*N('Peta CPL'!$C$20)*N('Peta CPL'!$I$20)+N(S24)*N('Peta CPL'!$C$21)*N('Peta CPL'!$I$21))/(N('Peta CPL'!$C$14)*N('Peta CPL'!$I$14)+N('Peta CPL'!$C$15)*N('Peta CPL'!$I$15)+N('Peta CPL'!$C$16)*N('Peta CPL'!$I$16)+N('Peta CPL'!$C$17)*N('Peta CPL'!$I$17)+N('Peta CPL'!$C$18)*N('Peta CPL'!$I$18)+N('Peta CPL'!$C$19)*N('Peta CPL'!$I$19)+N('Peta CPL'!$C$20)*N('Peta CPL'!$I$20)+N('Peta CPL'!$C$21)*N('Peta CPL'!$I$21)),""))</f>
        <v/>
      </c>
      <c r="Z24" s="7">
        <f>IF($B24="","",IFERROR((N(L24)*N('Peta CPL'!$C$14)+N(M24)*N('Peta CPL'!$C$15)+N(N24)*N('Peta CPL'!$C$16)+N(O24)*N('Peta CPL'!$C$17)+N(P24)*N('Peta CPL'!$C$18)+N(Q24)*N('Peta CPL'!$C$19)+N(R24)*N('Peta CPL'!$C$20)+N(S24)*N('Peta CPL'!$C$21))/100,""))</f>
        <v/>
      </c>
    </row>
    <row r="25">
      <c r="A25" s="7">
        <f>'Input Nilai'!A25</f>
        <v/>
      </c>
      <c r="B25" s="7">
        <f>'Input Nilai'!B25</f>
        <v/>
      </c>
      <c r="C25" s="15">
        <f>'Input Nilai'!C25</f>
        <v/>
      </c>
      <c r="D25" s="7">
        <f>IF(OR('Input Nilai'!$B25="",'Bobot CPMK'!$O$4=0),"",(SUMPRODUCT('Input Nilai'!D25:L25,'Bobot CPMK'!$E$4:$M$4)+'Input Nilai'!$BX25*'Bobot CPMK'!$N$4)/'Bobot CPMK'!$O$4)</f>
        <v/>
      </c>
      <c r="E25" s="7">
        <f>IF(OR('Input Nilai'!$B25="",'Bobot CPMK'!$O$5=0),"",(SUMPRODUCT('Input Nilai'!M25:U25,'Bobot CPMK'!$E$5:$M$5)+'Input Nilai'!$BX25*'Bobot CPMK'!$N$5)/'Bobot CPMK'!$O$5)</f>
        <v/>
      </c>
      <c r="F25" s="7">
        <f>IF(OR('Input Nilai'!$B25="",'Bobot CPMK'!$O$6=0),"",(SUMPRODUCT('Input Nilai'!V25:AD25,'Bobot CPMK'!$E$6:$M$6)+'Input Nilai'!$BX25*'Bobot CPMK'!$N$6)/'Bobot CPMK'!$O$6)</f>
        <v/>
      </c>
      <c r="G25" s="7">
        <f>IF(OR('Input Nilai'!$B25="",'Bobot CPMK'!$O$7=0),"",(SUMPRODUCT('Input Nilai'!AE25:AM25,'Bobot CPMK'!$E$7:$M$7)+'Input Nilai'!$BX25*'Bobot CPMK'!$N$7)/'Bobot CPMK'!$O$7)</f>
        <v/>
      </c>
      <c r="H25" s="7">
        <f>IF(OR('Input Nilai'!$B25="",'Bobot CPMK'!$O$8=0),"",(SUMPRODUCT('Input Nilai'!AN25:AV25,'Bobot CPMK'!$E$8:$M$8)+'Input Nilai'!$BX25*'Bobot CPMK'!$N$8)/'Bobot CPMK'!$O$8)</f>
        <v/>
      </c>
      <c r="I25" s="7">
        <f>IF(OR('Input Nilai'!$B25="",'Bobot CPMK'!$O$9=0),"",(SUMPRODUCT('Input Nilai'!AW25:BE25,'Bobot CPMK'!$E$9:$M$9)+'Input Nilai'!$BX25*'Bobot CPMK'!$N$9)/'Bobot CPMK'!$O$9)</f>
        <v/>
      </c>
      <c r="J25" s="7">
        <f>IF(OR('Input Nilai'!$B25="",'Bobot CPMK'!$O$10=0),"",(SUMPRODUCT('Input Nilai'!BF25:BN25,'Bobot CPMK'!$E$10:$M$10)+'Input Nilai'!$BX25*'Bobot CPMK'!$N$10)/'Bobot CPMK'!$O$10)</f>
        <v/>
      </c>
      <c r="K25" s="7">
        <f>IF(OR('Input Nilai'!$B25="",'Bobot CPMK'!$O$11=0),"",(SUMPRODUCT('Input Nilai'!BO25:BW25,'Bobot CPMK'!$E$11:$M$11)+'Input Nilai'!$BX25*'Bobot CPMK'!$N$11)/'Bobot CPMK'!$O$11)</f>
        <v/>
      </c>
      <c r="L25" s="7">
        <f>IF(OR($B25="",'Peta CPL'!$A$14=""),"",IFERROR(SUM(IF('Bobot CPMK'!$B$4='Peta CPL'!$A$14,N(D25)*'Bobot CPMK'!$P$4,0),IF('Bobot CPMK'!$B$5='Peta CPL'!$A$14,N(E25)*'Bobot CPMK'!$P$5,0),IF('Bobot CPMK'!$B$6='Peta CPL'!$A$14,N(F25)*'Bobot CPMK'!$P$6,0),IF('Bobot CPMK'!$B$7='Peta CPL'!$A$14,N(G25)*'Bobot CPMK'!$P$7,0),IF('Bobot CPMK'!$B$8='Peta CPL'!$A$14,N(H25)*'Bobot CPMK'!$P$8,0),IF('Bobot CPMK'!$B$9='Peta CPL'!$A$14,N(I25)*'Bobot CPMK'!$P$9,0),IF('Bobot CPMK'!$B$10='Peta CPL'!$A$14,N(J25)*'Bobot CPMK'!$P$10,0),IF('Bobot CPMK'!$B$11='Peta CPL'!$A$14,N(K25)*'Bobot CPMK'!$P$11,0))/SUM(IF('Bobot CPMK'!$B$4='Peta CPL'!$A$14,'Bobot CPMK'!$P$4,0),IF('Bobot CPMK'!$B$5='Peta CPL'!$A$14,'Bobot CPMK'!$P$5,0),IF('Bobot CPMK'!$B$6='Peta CPL'!$A$14,'Bobot CPMK'!$P$6,0),IF('Bobot CPMK'!$B$7='Peta CPL'!$A$14,'Bobot CPMK'!$P$7,0),IF('Bobot CPMK'!$B$8='Peta CPL'!$A$14,'Bobot CPMK'!$P$8,0),IF('Bobot CPMK'!$B$9='Peta CPL'!$A$14,'Bobot CPMK'!$P$9,0),IF('Bobot CPMK'!$B$10='Peta CPL'!$A$14,'Bobot CPMK'!$P$10,0),IF('Bobot CPMK'!$B$11='Peta CPL'!$A$14,'Bobot CPMK'!$P$11,0)),""))</f>
        <v/>
      </c>
      <c r="M25" s="7">
        <f>IF(OR($B25="",'Peta CPL'!$A$15=""),"",IFERROR(SUM(IF('Bobot CPMK'!$B$4='Peta CPL'!$A$15,N(D25)*'Bobot CPMK'!$P$4,0),IF('Bobot CPMK'!$B$5='Peta CPL'!$A$15,N(E25)*'Bobot CPMK'!$P$5,0),IF('Bobot CPMK'!$B$6='Peta CPL'!$A$15,N(F25)*'Bobot CPMK'!$P$6,0),IF('Bobot CPMK'!$B$7='Peta CPL'!$A$15,N(G25)*'Bobot CPMK'!$P$7,0),IF('Bobot CPMK'!$B$8='Peta CPL'!$A$15,N(H25)*'Bobot CPMK'!$P$8,0),IF('Bobot CPMK'!$B$9='Peta CPL'!$A$15,N(I25)*'Bobot CPMK'!$P$9,0),IF('Bobot CPMK'!$B$10='Peta CPL'!$A$15,N(J25)*'Bobot CPMK'!$P$10,0),IF('Bobot CPMK'!$B$11='Peta CPL'!$A$15,N(K25)*'Bobot CPMK'!$P$11,0))/SUM(IF('Bobot CPMK'!$B$4='Peta CPL'!$A$15,'Bobot CPMK'!$P$4,0),IF('Bobot CPMK'!$B$5='Peta CPL'!$A$15,'Bobot CPMK'!$P$5,0),IF('Bobot CPMK'!$B$6='Peta CPL'!$A$15,'Bobot CPMK'!$P$6,0),IF('Bobot CPMK'!$B$7='Peta CPL'!$A$15,'Bobot CPMK'!$P$7,0),IF('Bobot CPMK'!$B$8='Peta CPL'!$A$15,'Bobot CPMK'!$P$8,0),IF('Bobot CPMK'!$B$9='Peta CPL'!$A$15,'Bobot CPMK'!$P$9,0),IF('Bobot CPMK'!$B$10='Peta CPL'!$A$15,'Bobot CPMK'!$P$10,0),IF('Bobot CPMK'!$B$11='Peta CPL'!$A$15,'Bobot CPMK'!$P$11,0)),""))</f>
        <v/>
      </c>
      <c r="N25" s="7">
        <f>IF(OR($B25="",'Peta CPL'!$A$16=""),"",IFERROR(SUM(IF('Bobot CPMK'!$B$4='Peta CPL'!$A$16,N(D25)*'Bobot CPMK'!$P$4,0),IF('Bobot CPMK'!$B$5='Peta CPL'!$A$16,N(E25)*'Bobot CPMK'!$P$5,0),IF('Bobot CPMK'!$B$6='Peta CPL'!$A$16,N(F25)*'Bobot CPMK'!$P$6,0),IF('Bobot CPMK'!$B$7='Peta CPL'!$A$16,N(G25)*'Bobot CPMK'!$P$7,0),IF('Bobot CPMK'!$B$8='Peta CPL'!$A$16,N(H25)*'Bobot CPMK'!$P$8,0),IF('Bobot CPMK'!$B$9='Peta CPL'!$A$16,N(I25)*'Bobot CPMK'!$P$9,0),IF('Bobot CPMK'!$B$10='Peta CPL'!$A$16,N(J25)*'Bobot CPMK'!$P$10,0),IF('Bobot CPMK'!$B$11='Peta CPL'!$A$16,N(K25)*'Bobot CPMK'!$P$11,0))/SUM(IF('Bobot CPMK'!$B$4='Peta CPL'!$A$16,'Bobot CPMK'!$P$4,0),IF('Bobot CPMK'!$B$5='Peta CPL'!$A$16,'Bobot CPMK'!$P$5,0),IF('Bobot CPMK'!$B$6='Peta CPL'!$A$16,'Bobot CPMK'!$P$6,0),IF('Bobot CPMK'!$B$7='Peta CPL'!$A$16,'Bobot CPMK'!$P$7,0),IF('Bobot CPMK'!$B$8='Peta CPL'!$A$16,'Bobot CPMK'!$P$8,0),IF('Bobot CPMK'!$B$9='Peta CPL'!$A$16,'Bobot CPMK'!$P$9,0),IF('Bobot CPMK'!$B$10='Peta CPL'!$A$16,'Bobot CPMK'!$P$10,0),IF('Bobot CPMK'!$B$11='Peta CPL'!$A$16,'Bobot CPMK'!$P$11,0)),""))</f>
        <v/>
      </c>
      <c r="O25" s="7">
        <f>IF(OR($B25="",'Peta CPL'!$A$17=""),"",IFERROR(SUM(IF('Bobot CPMK'!$B$4='Peta CPL'!$A$17,N(D25)*'Bobot CPMK'!$P$4,0),IF('Bobot CPMK'!$B$5='Peta CPL'!$A$17,N(E25)*'Bobot CPMK'!$P$5,0),IF('Bobot CPMK'!$B$6='Peta CPL'!$A$17,N(F25)*'Bobot CPMK'!$P$6,0),IF('Bobot CPMK'!$B$7='Peta CPL'!$A$17,N(G25)*'Bobot CPMK'!$P$7,0),IF('Bobot CPMK'!$B$8='Peta CPL'!$A$17,N(H25)*'Bobot CPMK'!$P$8,0),IF('Bobot CPMK'!$B$9='Peta CPL'!$A$17,N(I25)*'Bobot CPMK'!$P$9,0),IF('Bobot CPMK'!$B$10='Peta CPL'!$A$17,N(J25)*'Bobot CPMK'!$P$10,0),IF('Bobot CPMK'!$B$11='Peta CPL'!$A$17,N(K25)*'Bobot CPMK'!$P$11,0))/SUM(IF('Bobot CPMK'!$B$4='Peta CPL'!$A$17,'Bobot CPMK'!$P$4,0),IF('Bobot CPMK'!$B$5='Peta CPL'!$A$17,'Bobot CPMK'!$P$5,0),IF('Bobot CPMK'!$B$6='Peta CPL'!$A$17,'Bobot CPMK'!$P$6,0),IF('Bobot CPMK'!$B$7='Peta CPL'!$A$17,'Bobot CPMK'!$P$7,0),IF('Bobot CPMK'!$B$8='Peta CPL'!$A$17,'Bobot CPMK'!$P$8,0),IF('Bobot CPMK'!$B$9='Peta CPL'!$A$17,'Bobot CPMK'!$P$9,0),IF('Bobot CPMK'!$B$10='Peta CPL'!$A$17,'Bobot CPMK'!$P$10,0),IF('Bobot CPMK'!$B$11='Peta CPL'!$A$17,'Bobot CPMK'!$P$11,0)),""))</f>
        <v/>
      </c>
      <c r="P25" s="7">
        <f>IF(OR($B25="",'Peta CPL'!$A$18=""),"",IFERROR(SUM(IF('Bobot CPMK'!$B$4='Peta CPL'!$A$18,N(D25)*'Bobot CPMK'!$P$4,0),IF('Bobot CPMK'!$B$5='Peta CPL'!$A$18,N(E25)*'Bobot CPMK'!$P$5,0),IF('Bobot CPMK'!$B$6='Peta CPL'!$A$18,N(F25)*'Bobot CPMK'!$P$6,0),IF('Bobot CPMK'!$B$7='Peta CPL'!$A$18,N(G25)*'Bobot CPMK'!$P$7,0),IF('Bobot CPMK'!$B$8='Peta CPL'!$A$18,N(H25)*'Bobot CPMK'!$P$8,0),IF('Bobot CPMK'!$B$9='Peta CPL'!$A$18,N(I25)*'Bobot CPMK'!$P$9,0),IF('Bobot CPMK'!$B$10='Peta CPL'!$A$18,N(J25)*'Bobot CPMK'!$P$10,0),IF('Bobot CPMK'!$B$11='Peta CPL'!$A$18,N(K25)*'Bobot CPMK'!$P$11,0))/SUM(IF('Bobot CPMK'!$B$4='Peta CPL'!$A$18,'Bobot CPMK'!$P$4,0),IF('Bobot CPMK'!$B$5='Peta CPL'!$A$18,'Bobot CPMK'!$P$5,0),IF('Bobot CPMK'!$B$6='Peta CPL'!$A$18,'Bobot CPMK'!$P$6,0),IF('Bobot CPMK'!$B$7='Peta CPL'!$A$18,'Bobot CPMK'!$P$7,0),IF('Bobot CPMK'!$B$8='Peta CPL'!$A$18,'Bobot CPMK'!$P$8,0),IF('Bobot CPMK'!$B$9='Peta CPL'!$A$18,'Bobot CPMK'!$P$9,0),IF('Bobot CPMK'!$B$10='Peta CPL'!$A$18,'Bobot CPMK'!$P$10,0),IF('Bobot CPMK'!$B$11='Peta CPL'!$A$18,'Bobot CPMK'!$P$11,0)),""))</f>
        <v/>
      </c>
      <c r="Q25" s="7">
        <f>IF(OR($B25="",'Peta CPL'!$A$19=""),"",IFERROR(SUM(IF('Bobot CPMK'!$B$4='Peta CPL'!$A$19,N(D25)*'Bobot CPMK'!$P$4,0),IF('Bobot CPMK'!$B$5='Peta CPL'!$A$19,N(E25)*'Bobot CPMK'!$P$5,0),IF('Bobot CPMK'!$B$6='Peta CPL'!$A$19,N(F25)*'Bobot CPMK'!$P$6,0),IF('Bobot CPMK'!$B$7='Peta CPL'!$A$19,N(G25)*'Bobot CPMK'!$P$7,0),IF('Bobot CPMK'!$B$8='Peta CPL'!$A$19,N(H25)*'Bobot CPMK'!$P$8,0),IF('Bobot CPMK'!$B$9='Peta CPL'!$A$19,N(I25)*'Bobot CPMK'!$P$9,0),IF('Bobot CPMK'!$B$10='Peta CPL'!$A$19,N(J25)*'Bobot CPMK'!$P$10,0),IF('Bobot CPMK'!$B$11='Peta CPL'!$A$19,N(K25)*'Bobot CPMK'!$P$11,0))/SUM(IF('Bobot CPMK'!$B$4='Peta CPL'!$A$19,'Bobot CPMK'!$P$4,0),IF('Bobot CPMK'!$B$5='Peta CPL'!$A$19,'Bobot CPMK'!$P$5,0),IF('Bobot CPMK'!$B$6='Peta CPL'!$A$19,'Bobot CPMK'!$P$6,0),IF('Bobot CPMK'!$B$7='Peta CPL'!$A$19,'Bobot CPMK'!$P$7,0),IF('Bobot CPMK'!$B$8='Peta CPL'!$A$19,'Bobot CPMK'!$P$8,0),IF('Bobot CPMK'!$B$9='Peta CPL'!$A$19,'Bobot CPMK'!$P$9,0),IF('Bobot CPMK'!$B$10='Peta CPL'!$A$19,'Bobot CPMK'!$P$10,0),IF('Bobot CPMK'!$B$11='Peta CPL'!$A$19,'Bobot CPMK'!$P$11,0)),""))</f>
        <v/>
      </c>
      <c r="R25" s="7">
        <f>IF(OR($B25="",'Peta CPL'!$A$20=""),"",IFERROR(SUM(IF('Bobot CPMK'!$B$4='Peta CPL'!$A$20,N(D25)*'Bobot CPMK'!$P$4,0),IF('Bobot CPMK'!$B$5='Peta CPL'!$A$20,N(E25)*'Bobot CPMK'!$P$5,0),IF('Bobot CPMK'!$B$6='Peta CPL'!$A$20,N(F25)*'Bobot CPMK'!$P$6,0),IF('Bobot CPMK'!$B$7='Peta CPL'!$A$20,N(G25)*'Bobot CPMK'!$P$7,0),IF('Bobot CPMK'!$B$8='Peta CPL'!$A$20,N(H25)*'Bobot CPMK'!$P$8,0),IF('Bobot CPMK'!$B$9='Peta CPL'!$A$20,N(I25)*'Bobot CPMK'!$P$9,0),IF('Bobot CPMK'!$B$10='Peta CPL'!$A$20,N(J25)*'Bobot CPMK'!$P$10,0),IF('Bobot CPMK'!$B$11='Peta CPL'!$A$20,N(K25)*'Bobot CPMK'!$P$11,0))/SUM(IF('Bobot CPMK'!$B$4='Peta CPL'!$A$20,'Bobot CPMK'!$P$4,0),IF('Bobot CPMK'!$B$5='Peta CPL'!$A$20,'Bobot CPMK'!$P$5,0),IF('Bobot CPMK'!$B$6='Peta CPL'!$A$20,'Bobot CPMK'!$P$6,0),IF('Bobot CPMK'!$B$7='Peta CPL'!$A$20,'Bobot CPMK'!$P$7,0),IF('Bobot CPMK'!$B$8='Peta CPL'!$A$20,'Bobot CPMK'!$P$8,0),IF('Bobot CPMK'!$B$9='Peta CPL'!$A$20,'Bobot CPMK'!$P$9,0),IF('Bobot CPMK'!$B$10='Peta CPL'!$A$20,'Bobot CPMK'!$P$10,0),IF('Bobot CPMK'!$B$11='Peta CPL'!$A$20,'Bobot CPMK'!$P$11,0)),""))</f>
        <v/>
      </c>
      <c r="S25" s="7">
        <f>IF(OR($B25="",'Peta CPL'!$A$21=""),"",IFERROR(SUM(IF('Bobot CPMK'!$B$4='Peta CPL'!$A$21,N(D25)*'Bobot CPMK'!$P$4,0),IF('Bobot CPMK'!$B$5='Peta CPL'!$A$21,N(E25)*'Bobot CPMK'!$P$5,0),IF('Bobot CPMK'!$B$6='Peta CPL'!$A$21,N(F25)*'Bobot CPMK'!$P$6,0),IF('Bobot CPMK'!$B$7='Peta CPL'!$A$21,N(G25)*'Bobot CPMK'!$P$7,0),IF('Bobot CPMK'!$B$8='Peta CPL'!$A$21,N(H25)*'Bobot CPMK'!$P$8,0),IF('Bobot CPMK'!$B$9='Peta CPL'!$A$21,N(I25)*'Bobot CPMK'!$P$9,0),IF('Bobot CPMK'!$B$10='Peta CPL'!$A$21,N(J25)*'Bobot CPMK'!$P$10,0),IF('Bobot CPMK'!$B$11='Peta CPL'!$A$21,N(K25)*'Bobot CPMK'!$P$11,0))/SUM(IF('Bobot CPMK'!$B$4='Peta CPL'!$A$21,'Bobot CPMK'!$P$4,0),IF('Bobot CPMK'!$B$5='Peta CPL'!$A$21,'Bobot CPMK'!$P$5,0),IF('Bobot CPMK'!$B$6='Peta CPL'!$A$21,'Bobot CPMK'!$P$6,0),IF('Bobot CPMK'!$B$7='Peta CPL'!$A$21,'Bobot CPMK'!$P$7,0),IF('Bobot CPMK'!$B$8='Peta CPL'!$A$21,'Bobot CPMK'!$P$8,0),IF('Bobot CPMK'!$B$9='Peta CPL'!$A$21,'Bobot CPMK'!$P$9,0),IF('Bobot CPMK'!$B$10='Peta CPL'!$A$21,'Bobot CPMK'!$P$10,0),IF('Bobot CPMK'!$B$11='Peta CPL'!$A$21,'Bobot CPMK'!$P$11,0)),""))</f>
        <v/>
      </c>
      <c r="T25" s="7">
        <f>IF(OR($B25="",'Peta CPL'!$A$5=""),"",IFERROR((N(L25)*N('Peta CPL'!$C$14)*N('Peta CPL'!$D$14)+N(M25)*N('Peta CPL'!$C$15)*N('Peta CPL'!$D$15)+N(N25)*N('Peta CPL'!$C$16)*N('Peta CPL'!$D$16)+N(O25)*N('Peta CPL'!$C$17)*N('Peta CPL'!$D$17)+N(P25)*N('Peta CPL'!$C$18)*N('Peta CPL'!$D$18)+N(Q25)*N('Peta CPL'!$C$19)*N('Peta CPL'!$D$19)+N(R25)*N('Peta CPL'!$C$20)*N('Peta CPL'!$D$20)+N(S25)*N('Peta CPL'!$C$21)*N('Peta CPL'!$D$21))/(N('Peta CPL'!$C$14)*N('Peta CPL'!$D$14)+N('Peta CPL'!$C$15)*N('Peta CPL'!$D$15)+N('Peta CPL'!$C$16)*N('Peta CPL'!$D$16)+N('Peta CPL'!$C$17)*N('Peta CPL'!$D$17)+N('Peta CPL'!$C$18)*N('Peta CPL'!$D$18)+N('Peta CPL'!$C$19)*N('Peta CPL'!$D$19)+N('Peta CPL'!$C$20)*N('Peta CPL'!$D$20)+N('Peta CPL'!$C$21)*N('Peta CPL'!$D$21)),""))</f>
        <v/>
      </c>
      <c r="U25" s="7">
        <f>IF(OR($B25="",'Peta CPL'!$A$6=""),"",IFERROR((N(L25)*N('Peta CPL'!$C$14)*N('Peta CPL'!$E$14)+N(M25)*N('Peta CPL'!$C$15)*N('Peta CPL'!$E$15)+N(N25)*N('Peta CPL'!$C$16)*N('Peta CPL'!$E$16)+N(O25)*N('Peta CPL'!$C$17)*N('Peta CPL'!$E$17)+N(P25)*N('Peta CPL'!$C$18)*N('Peta CPL'!$E$18)+N(Q25)*N('Peta CPL'!$C$19)*N('Peta CPL'!$E$19)+N(R25)*N('Peta CPL'!$C$20)*N('Peta CPL'!$E$20)+N(S25)*N('Peta CPL'!$C$21)*N('Peta CPL'!$E$21))/(N('Peta CPL'!$C$14)*N('Peta CPL'!$E$14)+N('Peta CPL'!$C$15)*N('Peta CPL'!$E$15)+N('Peta CPL'!$C$16)*N('Peta CPL'!$E$16)+N('Peta CPL'!$C$17)*N('Peta CPL'!$E$17)+N('Peta CPL'!$C$18)*N('Peta CPL'!$E$18)+N('Peta CPL'!$C$19)*N('Peta CPL'!$E$19)+N('Peta CPL'!$C$20)*N('Peta CPL'!$E$20)+N('Peta CPL'!$C$21)*N('Peta CPL'!$E$21)),""))</f>
        <v/>
      </c>
      <c r="V25" s="7">
        <f>IF(OR($B25="",'Peta CPL'!$A$7=""),"",IFERROR((N(L25)*N('Peta CPL'!$C$14)*N('Peta CPL'!$F$14)+N(M25)*N('Peta CPL'!$C$15)*N('Peta CPL'!$F$15)+N(N25)*N('Peta CPL'!$C$16)*N('Peta CPL'!$F$16)+N(O25)*N('Peta CPL'!$C$17)*N('Peta CPL'!$F$17)+N(P25)*N('Peta CPL'!$C$18)*N('Peta CPL'!$F$18)+N(Q25)*N('Peta CPL'!$C$19)*N('Peta CPL'!$F$19)+N(R25)*N('Peta CPL'!$C$20)*N('Peta CPL'!$F$20)+N(S25)*N('Peta CPL'!$C$21)*N('Peta CPL'!$F$21))/(N('Peta CPL'!$C$14)*N('Peta CPL'!$F$14)+N('Peta CPL'!$C$15)*N('Peta CPL'!$F$15)+N('Peta CPL'!$C$16)*N('Peta CPL'!$F$16)+N('Peta CPL'!$C$17)*N('Peta CPL'!$F$17)+N('Peta CPL'!$C$18)*N('Peta CPL'!$F$18)+N('Peta CPL'!$C$19)*N('Peta CPL'!$F$19)+N('Peta CPL'!$C$20)*N('Peta CPL'!$F$20)+N('Peta CPL'!$C$21)*N('Peta CPL'!$F$21)),""))</f>
        <v/>
      </c>
      <c r="W25" s="7">
        <f>IF(OR($B25="",'Peta CPL'!$A$8=""),"",IFERROR((N(L25)*N('Peta CPL'!$C$14)*N('Peta CPL'!$G$14)+N(M25)*N('Peta CPL'!$C$15)*N('Peta CPL'!$G$15)+N(N25)*N('Peta CPL'!$C$16)*N('Peta CPL'!$G$16)+N(O25)*N('Peta CPL'!$C$17)*N('Peta CPL'!$G$17)+N(P25)*N('Peta CPL'!$C$18)*N('Peta CPL'!$G$18)+N(Q25)*N('Peta CPL'!$C$19)*N('Peta CPL'!$G$19)+N(R25)*N('Peta CPL'!$C$20)*N('Peta CPL'!$G$20)+N(S25)*N('Peta CPL'!$C$21)*N('Peta CPL'!$G$21))/(N('Peta CPL'!$C$14)*N('Peta CPL'!$G$14)+N('Peta CPL'!$C$15)*N('Peta CPL'!$G$15)+N('Peta CPL'!$C$16)*N('Peta CPL'!$G$16)+N('Peta CPL'!$C$17)*N('Peta CPL'!$G$17)+N('Peta CPL'!$C$18)*N('Peta CPL'!$G$18)+N('Peta CPL'!$C$19)*N('Peta CPL'!$G$19)+N('Peta CPL'!$C$20)*N('Peta CPL'!$G$20)+N('Peta CPL'!$C$21)*N('Peta CPL'!$G$21)),""))</f>
        <v/>
      </c>
      <c r="X25" s="7">
        <f>IF(OR($B25="",'Peta CPL'!$A$9=""),"",IFERROR((N(L25)*N('Peta CPL'!$C$14)*N('Peta CPL'!$H$14)+N(M25)*N('Peta CPL'!$C$15)*N('Peta CPL'!$H$15)+N(N25)*N('Peta CPL'!$C$16)*N('Peta CPL'!$H$16)+N(O25)*N('Peta CPL'!$C$17)*N('Peta CPL'!$H$17)+N(P25)*N('Peta CPL'!$C$18)*N('Peta CPL'!$H$18)+N(Q25)*N('Peta CPL'!$C$19)*N('Peta CPL'!$H$19)+N(R25)*N('Peta CPL'!$C$20)*N('Peta CPL'!$H$20)+N(S25)*N('Peta CPL'!$C$21)*N('Peta CPL'!$H$21))/(N('Peta CPL'!$C$14)*N('Peta CPL'!$H$14)+N('Peta CPL'!$C$15)*N('Peta CPL'!$H$15)+N('Peta CPL'!$C$16)*N('Peta CPL'!$H$16)+N('Peta CPL'!$C$17)*N('Peta CPL'!$H$17)+N('Peta CPL'!$C$18)*N('Peta CPL'!$H$18)+N('Peta CPL'!$C$19)*N('Peta CPL'!$H$19)+N('Peta CPL'!$C$20)*N('Peta CPL'!$H$20)+N('Peta CPL'!$C$21)*N('Peta CPL'!$H$21)),""))</f>
        <v/>
      </c>
      <c r="Y25" s="7">
        <f>IF(OR($B25="",'Peta CPL'!$A$10=""),"",IFERROR((N(L25)*N('Peta CPL'!$C$14)*N('Peta CPL'!$I$14)+N(M25)*N('Peta CPL'!$C$15)*N('Peta CPL'!$I$15)+N(N25)*N('Peta CPL'!$C$16)*N('Peta CPL'!$I$16)+N(O25)*N('Peta CPL'!$C$17)*N('Peta CPL'!$I$17)+N(P25)*N('Peta CPL'!$C$18)*N('Peta CPL'!$I$18)+N(Q25)*N('Peta CPL'!$C$19)*N('Peta CPL'!$I$19)+N(R25)*N('Peta CPL'!$C$20)*N('Peta CPL'!$I$20)+N(S25)*N('Peta CPL'!$C$21)*N('Peta CPL'!$I$21))/(N('Peta CPL'!$C$14)*N('Peta CPL'!$I$14)+N('Peta CPL'!$C$15)*N('Peta CPL'!$I$15)+N('Peta CPL'!$C$16)*N('Peta CPL'!$I$16)+N('Peta CPL'!$C$17)*N('Peta CPL'!$I$17)+N('Peta CPL'!$C$18)*N('Peta CPL'!$I$18)+N('Peta CPL'!$C$19)*N('Peta CPL'!$I$19)+N('Peta CPL'!$C$20)*N('Peta CPL'!$I$20)+N('Peta CPL'!$C$21)*N('Peta CPL'!$I$21)),""))</f>
        <v/>
      </c>
      <c r="Z25" s="7">
        <f>IF($B25="","",IFERROR((N(L25)*N('Peta CPL'!$C$14)+N(M25)*N('Peta CPL'!$C$15)+N(N25)*N('Peta CPL'!$C$16)+N(O25)*N('Peta CPL'!$C$17)+N(P25)*N('Peta CPL'!$C$18)+N(Q25)*N('Peta CPL'!$C$19)+N(R25)*N('Peta CPL'!$C$20)+N(S25)*N('Peta CPL'!$C$21))/100,""))</f>
        <v/>
      </c>
    </row>
    <row r="26">
      <c r="A26" s="7">
        <f>'Input Nilai'!A26</f>
        <v/>
      </c>
      <c r="B26" s="7">
        <f>'Input Nilai'!B26</f>
        <v/>
      </c>
      <c r="C26" s="15">
        <f>'Input Nilai'!C26</f>
        <v/>
      </c>
      <c r="D26" s="7">
        <f>IF(OR('Input Nilai'!$B26="",'Bobot CPMK'!$O$4=0),"",(SUMPRODUCT('Input Nilai'!D26:L26,'Bobot CPMK'!$E$4:$M$4)+'Input Nilai'!$BX26*'Bobot CPMK'!$N$4)/'Bobot CPMK'!$O$4)</f>
        <v/>
      </c>
      <c r="E26" s="7">
        <f>IF(OR('Input Nilai'!$B26="",'Bobot CPMK'!$O$5=0),"",(SUMPRODUCT('Input Nilai'!M26:U26,'Bobot CPMK'!$E$5:$M$5)+'Input Nilai'!$BX26*'Bobot CPMK'!$N$5)/'Bobot CPMK'!$O$5)</f>
        <v/>
      </c>
      <c r="F26" s="7">
        <f>IF(OR('Input Nilai'!$B26="",'Bobot CPMK'!$O$6=0),"",(SUMPRODUCT('Input Nilai'!V26:AD26,'Bobot CPMK'!$E$6:$M$6)+'Input Nilai'!$BX26*'Bobot CPMK'!$N$6)/'Bobot CPMK'!$O$6)</f>
        <v/>
      </c>
      <c r="G26" s="7">
        <f>IF(OR('Input Nilai'!$B26="",'Bobot CPMK'!$O$7=0),"",(SUMPRODUCT('Input Nilai'!AE26:AM26,'Bobot CPMK'!$E$7:$M$7)+'Input Nilai'!$BX26*'Bobot CPMK'!$N$7)/'Bobot CPMK'!$O$7)</f>
        <v/>
      </c>
      <c r="H26" s="7">
        <f>IF(OR('Input Nilai'!$B26="",'Bobot CPMK'!$O$8=0),"",(SUMPRODUCT('Input Nilai'!AN26:AV26,'Bobot CPMK'!$E$8:$M$8)+'Input Nilai'!$BX26*'Bobot CPMK'!$N$8)/'Bobot CPMK'!$O$8)</f>
        <v/>
      </c>
      <c r="I26" s="7">
        <f>IF(OR('Input Nilai'!$B26="",'Bobot CPMK'!$O$9=0),"",(SUMPRODUCT('Input Nilai'!AW26:BE26,'Bobot CPMK'!$E$9:$M$9)+'Input Nilai'!$BX26*'Bobot CPMK'!$N$9)/'Bobot CPMK'!$O$9)</f>
        <v/>
      </c>
      <c r="J26" s="7">
        <f>IF(OR('Input Nilai'!$B26="",'Bobot CPMK'!$O$10=0),"",(SUMPRODUCT('Input Nilai'!BF26:BN26,'Bobot CPMK'!$E$10:$M$10)+'Input Nilai'!$BX26*'Bobot CPMK'!$N$10)/'Bobot CPMK'!$O$10)</f>
        <v/>
      </c>
      <c r="K26" s="7">
        <f>IF(OR('Input Nilai'!$B26="",'Bobot CPMK'!$O$11=0),"",(SUMPRODUCT('Input Nilai'!BO26:BW26,'Bobot CPMK'!$E$11:$M$11)+'Input Nilai'!$BX26*'Bobot CPMK'!$N$11)/'Bobot CPMK'!$O$11)</f>
        <v/>
      </c>
      <c r="L26" s="7">
        <f>IF(OR($B26="",'Peta CPL'!$A$14=""),"",IFERROR(SUM(IF('Bobot CPMK'!$B$4='Peta CPL'!$A$14,N(D26)*'Bobot CPMK'!$P$4,0),IF('Bobot CPMK'!$B$5='Peta CPL'!$A$14,N(E26)*'Bobot CPMK'!$P$5,0),IF('Bobot CPMK'!$B$6='Peta CPL'!$A$14,N(F26)*'Bobot CPMK'!$P$6,0),IF('Bobot CPMK'!$B$7='Peta CPL'!$A$14,N(G26)*'Bobot CPMK'!$P$7,0),IF('Bobot CPMK'!$B$8='Peta CPL'!$A$14,N(H26)*'Bobot CPMK'!$P$8,0),IF('Bobot CPMK'!$B$9='Peta CPL'!$A$14,N(I26)*'Bobot CPMK'!$P$9,0),IF('Bobot CPMK'!$B$10='Peta CPL'!$A$14,N(J26)*'Bobot CPMK'!$P$10,0),IF('Bobot CPMK'!$B$11='Peta CPL'!$A$14,N(K26)*'Bobot CPMK'!$P$11,0))/SUM(IF('Bobot CPMK'!$B$4='Peta CPL'!$A$14,'Bobot CPMK'!$P$4,0),IF('Bobot CPMK'!$B$5='Peta CPL'!$A$14,'Bobot CPMK'!$P$5,0),IF('Bobot CPMK'!$B$6='Peta CPL'!$A$14,'Bobot CPMK'!$P$6,0),IF('Bobot CPMK'!$B$7='Peta CPL'!$A$14,'Bobot CPMK'!$P$7,0),IF('Bobot CPMK'!$B$8='Peta CPL'!$A$14,'Bobot CPMK'!$P$8,0),IF('Bobot CPMK'!$B$9='Peta CPL'!$A$14,'Bobot CPMK'!$P$9,0),IF('Bobot CPMK'!$B$10='Peta CPL'!$A$14,'Bobot CPMK'!$P$10,0),IF('Bobot CPMK'!$B$11='Peta CPL'!$A$14,'Bobot CPMK'!$P$11,0)),""))</f>
        <v/>
      </c>
      <c r="M26" s="7">
        <f>IF(OR($B26="",'Peta CPL'!$A$15=""),"",IFERROR(SUM(IF('Bobot CPMK'!$B$4='Peta CPL'!$A$15,N(D26)*'Bobot CPMK'!$P$4,0),IF('Bobot CPMK'!$B$5='Peta CPL'!$A$15,N(E26)*'Bobot CPMK'!$P$5,0),IF('Bobot CPMK'!$B$6='Peta CPL'!$A$15,N(F26)*'Bobot CPMK'!$P$6,0),IF('Bobot CPMK'!$B$7='Peta CPL'!$A$15,N(G26)*'Bobot CPMK'!$P$7,0),IF('Bobot CPMK'!$B$8='Peta CPL'!$A$15,N(H26)*'Bobot CPMK'!$P$8,0),IF('Bobot CPMK'!$B$9='Peta CPL'!$A$15,N(I26)*'Bobot CPMK'!$P$9,0),IF('Bobot CPMK'!$B$10='Peta CPL'!$A$15,N(J26)*'Bobot CPMK'!$P$10,0),IF('Bobot CPMK'!$B$11='Peta CPL'!$A$15,N(K26)*'Bobot CPMK'!$P$11,0))/SUM(IF('Bobot CPMK'!$B$4='Peta CPL'!$A$15,'Bobot CPMK'!$P$4,0),IF('Bobot CPMK'!$B$5='Peta CPL'!$A$15,'Bobot CPMK'!$P$5,0),IF('Bobot CPMK'!$B$6='Peta CPL'!$A$15,'Bobot CPMK'!$P$6,0),IF('Bobot CPMK'!$B$7='Peta CPL'!$A$15,'Bobot CPMK'!$P$7,0),IF('Bobot CPMK'!$B$8='Peta CPL'!$A$15,'Bobot CPMK'!$P$8,0),IF('Bobot CPMK'!$B$9='Peta CPL'!$A$15,'Bobot CPMK'!$P$9,0),IF('Bobot CPMK'!$B$10='Peta CPL'!$A$15,'Bobot CPMK'!$P$10,0),IF('Bobot CPMK'!$B$11='Peta CPL'!$A$15,'Bobot CPMK'!$P$11,0)),""))</f>
        <v/>
      </c>
      <c r="N26" s="7">
        <f>IF(OR($B26="",'Peta CPL'!$A$16=""),"",IFERROR(SUM(IF('Bobot CPMK'!$B$4='Peta CPL'!$A$16,N(D26)*'Bobot CPMK'!$P$4,0),IF('Bobot CPMK'!$B$5='Peta CPL'!$A$16,N(E26)*'Bobot CPMK'!$P$5,0),IF('Bobot CPMK'!$B$6='Peta CPL'!$A$16,N(F26)*'Bobot CPMK'!$P$6,0),IF('Bobot CPMK'!$B$7='Peta CPL'!$A$16,N(G26)*'Bobot CPMK'!$P$7,0),IF('Bobot CPMK'!$B$8='Peta CPL'!$A$16,N(H26)*'Bobot CPMK'!$P$8,0),IF('Bobot CPMK'!$B$9='Peta CPL'!$A$16,N(I26)*'Bobot CPMK'!$P$9,0),IF('Bobot CPMK'!$B$10='Peta CPL'!$A$16,N(J26)*'Bobot CPMK'!$P$10,0),IF('Bobot CPMK'!$B$11='Peta CPL'!$A$16,N(K26)*'Bobot CPMK'!$P$11,0))/SUM(IF('Bobot CPMK'!$B$4='Peta CPL'!$A$16,'Bobot CPMK'!$P$4,0),IF('Bobot CPMK'!$B$5='Peta CPL'!$A$16,'Bobot CPMK'!$P$5,0),IF('Bobot CPMK'!$B$6='Peta CPL'!$A$16,'Bobot CPMK'!$P$6,0),IF('Bobot CPMK'!$B$7='Peta CPL'!$A$16,'Bobot CPMK'!$P$7,0),IF('Bobot CPMK'!$B$8='Peta CPL'!$A$16,'Bobot CPMK'!$P$8,0),IF('Bobot CPMK'!$B$9='Peta CPL'!$A$16,'Bobot CPMK'!$P$9,0),IF('Bobot CPMK'!$B$10='Peta CPL'!$A$16,'Bobot CPMK'!$P$10,0),IF('Bobot CPMK'!$B$11='Peta CPL'!$A$16,'Bobot CPMK'!$P$11,0)),""))</f>
        <v/>
      </c>
      <c r="O26" s="7">
        <f>IF(OR($B26="",'Peta CPL'!$A$17=""),"",IFERROR(SUM(IF('Bobot CPMK'!$B$4='Peta CPL'!$A$17,N(D26)*'Bobot CPMK'!$P$4,0),IF('Bobot CPMK'!$B$5='Peta CPL'!$A$17,N(E26)*'Bobot CPMK'!$P$5,0),IF('Bobot CPMK'!$B$6='Peta CPL'!$A$17,N(F26)*'Bobot CPMK'!$P$6,0),IF('Bobot CPMK'!$B$7='Peta CPL'!$A$17,N(G26)*'Bobot CPMK'!$P$7,0),IF('Bobot CPMK'!$B$8='Peta CPL'!$A$17,N(H26)*'Bobot CPMK'!$P$8,0),IF('Bobot CPMK'!$B$9='Peta CPL'!$A$17,N(I26)*'Bobot CPMK'!$P$9,0),IF('Bobot CPMK'!$B$10='Peta CPL'!$A$17,N(J26)*'Bobot CPMK'!$P$10,0),IF('Bobot CPMK'!$B$11='Peta CPL'!$A$17,N(K26)*'Bobot CPMK'!$P$11,0))/SUM(IF('Bobot CPMK'!$B$4='Peta CPL'!$A$17,'Bobot CPMK'!$P$4,0),IF('Bobot CPMK'!$B$5='Peta CPL'!$A$17,'Bobot CPMK'!$P$5,0),IF('Bobot CPMK'!$B$6='Peta CPL'!$A$17,'Bobot CPMK'!$P$6,0),IF('Bobot CPMK'!$B$7='Peta CPL'!$A$17,'Bobot CPMK'!$P$7,0),IF('Bobot CPMK'!$B$8='Peta CPL'!$A$17,'Bobot CPMK'!$P$8,0),IF('Bobot CPMK'!$B$9='Peta CPL'!$A$17,'Bobot CPMK'!$P$9,0),IF('Bobot CPMK'!$B$10='Peta CPL'!$A$17,'Bobot CPMK'!$P$10,0),IF('Bobot CPMK'!$B$11='Peta CPL'!$A$17,'Bobot CPMK'!$P$11,0)),""))</f>
        <v/>
      </c>
      <c r="P26" s="7">
        <f>IF(OR($B26="",'Peta CPL'!$A$18=""),"",IFERROR(SUM(IF('Bobot CPMK'!$B$4='Peta CPL'!$A$18,N(D26)*'Bobot CPMK'!$P$4,0),IF('Bobot CPMK'!$B$5='Peta CPL'!$A$18,N(E26)*'Bobot CPMK'!$P$5,0),IF('Bobot CPMK'!$B$6='Peta CPL'!$A$18,N(F26)*'Bobot CPMK'!$P$6,0),IF('Bobot CPMK'!$B$7='Peta CPL'!$A$18,N(G26)*'Bobot CPMK'!$P$7,0),IF('Bobot CPMK'!$B$8='Peta CPL'!$A$18,N(H26)*'Bobot CPMK'!$P$8,0),IF('Bobot CPMK'!$B$9='Peta CPL'!$A$18,N(I26)*'Bobot CPMK'!$P$9,0),IF('Bobot CPMK'!$B$10='Peta CPL'!$A$18,N(J26)*'Bobot CPMK'!$P$10,0),IF('Bobot CPMK'!$B$11='Peta CPL'!$A$18,N(K26)*'Bobot CPMK'!$P$11,0))/SUM(IF('Bobot CPMK'!$B$4='Peta CPL'!$A$18,'Bobot CPMK'!$P$4,0),IF('Bobot CPMK'!$B$5='Peta CPL'!$A$18,'Bobot CPMK'!$P$5,0),IF('Bobot CPMK'!$B$6='Peta CPL'!$A$18,'Bobot CPMK'!$P$6,0),IF('Bobot CPMK'!$B$7='Peta CPL'!$A$18,'Bobot CPMK'!$P$7,0),IF('Bobot CPMK'!$B$8='Peta CPL'!$A$18,'Bobot CPMK'!$P$8,0),IF('Bobot CPMK'!$B$9='Peta CPL'!$A$18,'Bobot CPMK'!$P$9,0),IF('Bobot CPMK'!$B$10='Peta CPL'!$A$18,'Bobot CPMK'!$P$10,0),IF('Bobot CPMK'!$B$11='Peta CPL'!$A$18,'Bobot CPMK'!$P$11,0)),""))</f>
        <v/>
      </c>
      <c r="Q26" s="7">
        <f>IF(OR($B26="",'Peta CPL'!$A$19=""),"",IFERROR(SUM(IF('Bobot CPMK'!$B$4='Peta CPL'!$A$19,N(D26)*'Bobot CPMK'!$P$4,0),IF('Bobot CPMK'!$B$5='Peta CPL'!$A$19,N(E26)*'Bobot CPMK'!$P$5,0),IF('Bobot CPMK'!$B$6='Peta CPL'!$A$19,N(F26)*'Bobot CPMK'!$P$6,0),IF('Bobot CPMK'!$B$7='Peta CPL'!$A$19,N(G26)*'Bobot CPMK'!$P$7,0),IF('Bobot CPMK'!$B$8='Peta CPL'!$A$19,N(H26)*'Bobot CPMK'!$P$8,0),IF('Bobot CPMK'!$B$9='Peta CPL'!$A$19,N(I26)*'Bobot CPMK'!$P$9,0),IF('Bobot CPMK'!$B$10='Peta CPL'!$A$19,N(J26)*'Bobot CPMK'!$P$10,0),IF('Bobot CPMK'!$B$11='Peta CPL'!$A$19,N(K26)*'Bobot CPMK'!$P$11,0))/SUM(IF('Bobot CPMK'!$B$4='Peta CPL'!$A$19,'Bobot CPMK'!$P$4,0),IF('Bobot CPMK'!$B$5='Peta CPL'!$A$19,'Bobot CPMK'!$P$5,0),IF('Bobot CPMK'!$B$6='Peta CPL'!$A$19,'Bobot CPMK'!$P$6,0),IF('Bobot CPMK'!$B$7='Peta CPL'!$A$19,'Bobot CPMK'!$P$7,0),IF('Bobot CPMK'!$B$8='Peta CPL'!$A$19,'Bobot CPMK'!$P$8,0),IF('Bobot CPMK'!$B$9='Peta CPL'!$A$19,'Bobot CPMK'!$P$9,0),IF('Bobot CPMK'!$B$10='Peta CPL'!$A$19,'Bobot CPMK'!$P$10,0),IF('Bobot CPMK'!$B$11='Peta CPL'!$A$19,'Bobot CPMK'!$P$11,0)),""))</f>
        <v/>
      </c>
      <c r="R26" s="7">
        <f>IF(OR($B26="",'Peta CPL'!$A$20=""),"",IFERROR(SUM(IF('Bobot CPMK'!$B$4='Peta CPL'!$A$20,N(D26)*'Bobot CPMK'!$P$4,0),IF('Bobot CPMK'!$B$5='Peta CPL'!$A$20,N(E26)*'Bobot CPMK'!$P$5,0),IF('Bobot CPMK'!$B$6='Peta CPL'!$A$20,N(F26)*'Bobot CPMK'!$P$6,0),IF('Bobot CPMK'!$B$7='Peta CPL'!$A$20,N(G26)*'Bobot CPMK'!$P$7,0),IF('Bobot CPMK'!$B$8='Peta CPL'!$A$20,N(H26)*'Bobot CPMK'!$P$8,0),IF('Bobot CPMK'!$B$9='Peta CPL'!$A$20,N(I26)*'Bobot CPMK'!$P$9,0),IF('Bobot CPMK'!$B$10='Peta CPL'!$A$20,N(J26)*'Bobot CPMK'!$P$10,0),IF('Bobot CPMK'!$B$11='Peta CPL'!$A$20,N(K26)*'Bobot CPMK'!$P$11,0))/SUM(IF('Bobot CPMK'!$B$4='Peta CPL'!$A$20,'Bobot CPMK'!$P$4,0),IF('Bobot CPMK'!$B$5='Peta CPL'!$A$20,'Bobot CPMK'!$P$5,0),IF('Bobot CPMK'!$B$6='Peta CPL'!$A$20,'Bobot CPMK'!$P$6,0),IF('Bobot CPMK'!$B$7='Peta CPL'!$A$20,'Bobot CPMK'!$P$7,0),IF('Bobot CPMK'!$B$8='Peta CPL'!$A$20,'Bobot CPMK'!$P$8,0),IF('Bobot CPMK'!$B$9='Peta CPL'!$A$20,'Bobot CPMK'!$P$9,0),IF('Bobot CPMK'!$B$10='Peta CPL'!$A$20,'Bobot CPMK'!$P$10,0),IF('Bobot CPMK'!$B$11='Peta CPL'!$A$20,'Bobot CPMK'!$P$11,0)),""))</f>
        <v/>
      </c>
      <c r="S26" s="7">
        <f>IF(OR($B26="",'Peta CPL'!$A$21=""),"",IFERROR(SUM(IF('Bobot CPMK'!$B$4='Peta CPL'!$A$21,N(D26)*'Bobot CPMK'!$P$4,0),IF('Bobot CPMK'!$B$5='Peta CPL'!$A$21,N(E26)*'Bobot CPMK'!$P$5,0),IF('Bobot CPMK'!$B$6='Peta CPL'!$A$21,N(F26)*'Bobot CPMK'!$P$6,0),IF('Bobot CPMK'!$B$7='Peta CPL'!$A$21,N(G26)*'Bobot CPMK'!$P$7,0),IF('Bobot CPMK'!$B$8='Peta CPL'!$A$21,N(H26)*'Bobot CPMK'!$P$8,0),IF('Bobot CPMK'!$B$9='Peta CPL'!$A$21,N(I26)*'Bobot CPMK'!$P$9,0),IF('Bobot CPMK'!$B$10='Peta CPL'!$A$21,N(J26)*'Bobot CPMK'!$P$10,0),IF('Bobot CPMK'!$B$11='Peta CPL'!$A$21,N(K26)*'Bobot CPMK'!$P$11,0))/SUM(IF('Bobot CPMK'!$B$4='Peta CPL'!$A$21,'Bobot CPMK'!$P$4,0),IF('Bobot CPMK'!$B$5='Peta CPL'!$A$21,'Bobot CPMK'!$P$5,0),IF('Bobot CPMK'!$B$6='Peta CPL'!$A$21,'Bobot CPMK'!$P$6,0),IF('Bobot CPMK'!$B$7='Peta CPL'!$A$21,'Bobot CPMK'!$P$7,0),IF('Bobot CPMK'!$B$8='Peta CPL'!$A$21,'Bobot CPMK'!$P$8,0),IF('Bobot CPMK'!$B$9='Peta CPL'!$A$21,'Bobot CPMK'!$P$9,0),IF('Bobot CPMK'!$B$10='Peta CPL'!$A$21,'Bobot CPMK'!$P$10,0),IF('Bobot CPMK'!$B$11='Peta CPL'!$A$21,'Bobot CPMK'!$P$11,0)),""))</f>
        <v/>
      </c>
      <c r="T26" s="7">
        <f>IF(OR($B26="",'Peta CPL'!$A$5=""),"",IFERROR((N(L26)*N('Peta CPL'!$C$14)*N('Peta CPL'!$D$14)+N(M26)*N('Peta CPL'!$C$15)*N('Peta CPL'!$D$15)+N(N26)*N('Peta CPL'!$C$16)*N('Peta CPL'!$D$16)+N(O26)*N('Peta CPL'!$C$17)*N('Peta CPL'!$D$17)+N(P26)*N('Peta CPL'!$C$18)*N('Peta CPL'!$D$18)+N(Q26)*N('Peta CPL'!$C$19)*N('Peta CPL'!$D$19)+N(R26)*N('Peta CPL'!$C$20)*N('Peta CPL'!$D$20)+N(S26)*N('Peta CPL'!$C$21)*N('Peta CPL'!$D$21))/(N('Peta CPL'!$C$14)*N('Peta CPL'!$D$14)+N('Peta CPL'!$C$15)*N('Peta CPL'!$D$15)+N('Peta CPL'!$C$16)*N('Peta CPL'!$D$16)+N('Peta CPL'!$C$17)*N('Peta CPL'!$D$17)+N('Peta CPL'!$C$18)*N('Peta CPL'!$D$18)+N('Peta CPL'!$C$19)*N('Peta CPL'!$D$19)+N('Peta CPL'!$C$20)*N('Peta CPL'!$D$20)+N('Peta CPL'!$C$21)*N('Peta CPL'!$D$21)),""))</f>
        <v/>
      </c>
      <c r="U26" s="7">
        <f>IF(OR($B26="",'Peta CPL'!$A$6=""),"",IFERROR((N(L26)*N('Peta CPL'!$C$14)*N('Peta CPL'!$E$14)+N(M26)*N('Peta CPL'!$C$15)*N('Peta CPL'!$E$15)+N(N26)*N('Peta CPL'!$C$16)*N('Peta CPL'!$E$16)+N(O26)*N('Peta CPL'!$C$17)*N('Peta CPL'!$E$17)+N(P26)*N('Peta CPL'!$C$18)*N('Peta CPL'!$E$18)+N(Q26)*N('Peta CPL'!$C$19)*N('Peta CPL'!$E$19)+N(R26)*N('Peta CPL'!$C$20)*N('Peta CPL'!$E$20)+N(S26)*N('Peta CPL'!$C$21)*N('Peta CPL'!$E$21))/(N('Peta CPL'!$C$14)*N('Peta CPL'!$E$14)+N('Peta CPL'!$C$15)*N('Peta CPL'!$E$15)+N('Peta CPL'!$C$16)*N('Peta CPL'!$E$16)+N('Peta CPL'!$C$17)*N('Peta CPL'!$E$17)+N('Peta CPL'!$C$18)*N('Peta CPL'!$E$18)+N('Peta CPL'!$C$19)*N('Peta CPL'!$E$19)+N('Peta CPL'!$C$20)*N('Peta CPL'!$E$20)+N('Peta CPL'!$C$21)*N('Peta CPL'!$E$21)),""))</f>
        <v/>
      </c>
      <c r="V26" s="7">
        <f>IF(OR($B26="",'Peta CPL'!$A$7=""),"",IFERROR((N(L26)*N('Peta CPL'!$C$14)*N('Peta CPL'!$F$14)+N(M26)*N('Peta CPL'!$C$15)*N('Peta CPL'!$F$15)+N(N26)*N('Peta CPL'!$C$16)*N('Peta CPL'!$F$16)+N(O26)*N('Peta CPL'!$C$17)*N('Peta CPL'!$F$17)+N(P26)*N('Peta CPL'!$C$18)*N('Peta CPL'!$F$18)+N(Q26)*N('Peta CPL'!$C$19)*N('Peta CPL'!$F$19)+N(R26)*N('Peta CPL'!$C$20)*N('Peta CPL'!$F$20)+N(S26)*N('Peta CPL'!$C$21)*N('Peta CPL'!$F$21))/(N('Peta CPL'!$C$14)*N('Peta CPL'!$F$14)+N('Peta CPL'!$C$15)*N('Peta CPL'!$F$15)+N('Peta CPL'!$C$16)*N('Peta CPL'!$F$16)+N('Peta CPL'!$C$17)*N('Peta CPL'!$F$17)+N('Peta CPL'!$C$18)*N('Peta CPL'!$F$18)+N('Peta CPL'!$C$19)*N('Peta CPL'!$F$19)+N('Peta CPL'!$C$20)*N('Peta CPL'!$F$20)+N('Peta CPL'!$C$21)*N('Peta CPL'!$F$21)),""))</f>
        <v/>
      </c>
      <c r="W26" s="7">
        <f>IF(OR($B26="",'Peta CPL'!$A$8=""),"",IFERROR((N(L26)*N('Peta CPL'!$C$14)*N('Peta CPL'!$G$14)+N(M26)*N('Peta CPL'!$C$15)*N('Peta CPL'!$G$15)+N(N26)*N('Peta CPL'!$C$16)*N('Peta CPL'!$G$16)+N(O26)*N('Peta CPL'!$C$17)*N('Peta CPL'!$G$17)+N(P26)*N('Peta CPL'!$C$18)*N('Peta CPL'!$G$18)+N(Q26)*N('Peta CPL'!$C$19)*N('Peta CPL'!$G$19)+N(R26)*N('Peta CPL'!$C$20)*N('Peta CPL'!$G$20)+N(S26)*N('Peta CPL'!$C$21)*N('Peta CPL'!$G$21))/(N('Peta CPL'!$C$14)*N('Peta CPL'!$G$14)+N('Peta CPL'!$C$15)*N('Peta CPL'!$G$15)+N('Peta CPL'!$C$16)*N('Peta CPL'!$G$16)+N('Peta CPL'!$C$17)*N('Peta CPL'!$G$17)+N('Peta CPL'!$C$18)*N('Peta CPL'!$G$18)+N('Peta CPL'!$C$19)*N('Peta CPL'!$G$19)+N('Peta CPL'!$C$20)*N('Peta CPL'!$G$20)+N('Peta CPL'!$C$21)*N('Peta CPL'!$G$21)),""))</f>
        <v/>
      </c>
      <c r="X26" s="7">
        <f>IF(OR($B26="",'Peta CPL'!$A$9=""),"",IFERROR((N(L26)*N('Peta CPL'!$C$14)*N('Peta CPL'!$H$14)+N(M26)*N('Peta CPL'!$C$15)*N('Peta CPL'!$H$15)+N(N26)*N('Peta CPL'!$C$16)*N('Peta CPL'!$H$16)+N(O26)*N('Peta CPL'!$C$17)*N('Peta CPL'!$H$17)+N(P26)*N('Peta CPL'!$C$18)*N('Peta CPL'!$H$18)+N(Q26)*N('Peta CPL'!$C$19)*N('Peta CPL'!$H$19)+N(R26)*N('Peta CPL'!$C$20)*N('Peta CPL'!$H$20)+N(S26)*N('Peta CPL'!$C$21)*N('Peta CPL'!$H$21))/(N('Peta CPL'!$C$14)*N('Peta CPL'!$H$14)+N('Peta CPL'!$C$15)*N('Peta CPL'!$H$15)+N('Peta CPL'!$C$16)*N('Peta CPL'!$H$16)+N('Peta CPL'!$C$17)*N('Peta CPL'!$H$17)+N('Peta CPL'!$C$18)*N('Peta CPL'!$H$18)+N('Peta CPL'!$C$19)*N('Peta CPL'!$H$19)+N('Peta CPL'!$C$20)*N('Peta CPL'!$H$20)+N('Peta CPL'!$C$21)*N('Peta CPL'!$H$21)),""))</f>
        <v/>
      </c>
      <c r="Y26" s="7">
        <f>IF(OR($B26="",'Peta CPL'!$A$10=""),"",IFERROR((N(L26)*N('Peta CPL'!$C$14)*N('Peta CPL'!$I$14)+N(M26)*N('Peta CPL'!$C$15)*N('Peta CPL'!$I$15)+N(N26)*N('Peta CPL'!$C$16)*N('Peta CPL'!$I$16)+N(O26)*N('Peta CPL'!$C$17)*N('Peta CPL'!$I$17)+N(P26)*N('Peta CPL'!$C$18)*N('Peta CPL'!$I$18)+N(Q26)*N('Peta CPL'!$C$19)*N('Peta CPL'!$I$19)+N(R26)*N('Peta CPL'!$C$20)*N('Peta CPL'!$I$20)+N(S26)*N('Peta CPL'!$C$21)*N('Peta CPL'!$I$21))/(N('Peta CPL'!$C$14)*N('Peta CPL'!$I$14)+N('Peta CPL'!$C$15)*N('Peta CPL'!$I$15)+N('Peta CPL'!$C$16)*N('Peta CPL'!$I$16)+N('Peta CPL'!$C$17)*N('Peta CPL'!$I$17)+N('Peta CPL'!$C$18)*N('Peta CPL'!$I$18)+N('Peta CPL'!$C$19)*N('Peta CPL'!$I$19)+N('Peta CPL'!$C$20)*N('Peta CPL'!$I$20)+N('Peta CPL'!$C$21)*N('Peta CPL'!$I$21)),""))</f>
        <v/>
      </c>
      <c r="Z26" s="7">
        <f>IF($B26="","",IFERROR((N(L26)*N('Peta CPL'!$C$14)+N(M26)*N('Peta CPL'!$C$15)+N(N26)*N('Peta CPL'!$C$16)+N(O26)*N('Peta CPL'!$C$17)+N(P26)*N('Peta CPL'!$C$18)+N(Q26)*N('Peta CPL'!$C$19)+N(R26)*N('Peta CPL'!$C$20)+N(S26)*N('Peta CPL'!$C$21))/100,""))</f>
        <v/>
      </c>
    </row>
    <row r="27">
      <c r="A27" s="7">
        <f>'Input Nilai'!A27</f>
        <v/>
      </c>
      <c r="B27" s="7">
        <f>'Input Nilai'!B27</f>
        <v/>
      </c>
      <c r="C27" s="15">
        <f>'Input Nilai'!C27</f>
        <v/>
      </c>
      <c r="D27" s="7">
        <f>IF(OR('Input Nilai'!$B27="",'Bobot CPMK'!$O$4=0),"",(SUMPRODUCT('Input Nilai'!D27:L27,'Bobot CPMK'!$E$4:$M$4)+'Input Nilai'!$BX27*'Bobot CPMK'!$N$4)/'Bobot CPMK'!$O$4)</f>
        <v/>
      </c>
      <c r="E27" s="7">
        <f>IF(OR('Input Nilai'!$B27="",'Bobot CPMK'!$O$5=0),"",(SUMPRODUCT('Input Nilai'!M27:U27,'Bobot CPMK'!$E$5:$M$5)+'Input Nilai'!$BX27*'Bobot CPMK'!$N$5)/'Bobot CPMK'!$O$5)</f>
        <v/>
      </c>
      <c r="F27" s="7">
        <f>IF(OR('Input Nilai'!$B27="",'Bobot CPMK'!$O$6=0),"",(SUMPRODUCT('Input Nilai'!V27:AD27,'Bobot CPMK'!$E$6:$M$6)+'Input Nilai'!$BX27*'Bobot CPMK'!$N$6)/'Bobot CPMK'!$O$6)</f>
        <v/>
      </c>
      <c r="G27" s="7">
        <f>IF(OR('Input Nilai'!$B27="",'Bobot CPMK'!$O$7=0),"",(SUMPRODUCT('Input Nilai'!AE27:AM27,'Bobot CPMK'!$E$7:$M$7)+'Input Nilai'!$BX27*'Bobot CPMK'!$N$7)/'Bobot CPMK'!$O$7)</f>
        <v/>
      </c>
      <c r="H27" s="7">
        <f>IF(OR('Input Nilai'!$B27="",'Bobot CPMK'!$O$8=0),"",(SUMPRODUCT('Input Nilai'!AN27:AV27,'Bobot CPMK'!$E$8:$M$8)+'Input Nilai'!$BX27*'Bobot CPMK'!$N$8)/'Bobot CPMK'!$O$8)</f>
        <v/>
      </c>
      <c r="I27" s="7">
        <f>IF(OR('Input Nilai'!$B27="",'Bobot CPMK'!$O$9=0),"",(SUMPRODUCT('Input Nilai'!AW27:BE27,'Bobot CPMK'!$E$9:$M$9)+'Input Nilai'!$BX27*'Bobot CPMK'!$N$9)/'Bobot CPMK'!$O$9)</f>
        <v/>
      </c>
      <c r="J27" s="7">
        <f>IF(OR('Input Nilai'!$B27="",'Bobot CPMK'!$O$10=0),"",(SUMPRODUCT('Input Nilai'!BF27:BN27,'Bobot CPMK'!$E$10:$M$10)+'Input Nilai'!$BX27*'Bobot CPMK'!$N$10)/'Bobot CPMK'!$O$10)</f>
        <v/>
      </c>
      <c r="K27" s="7">
        <f>IF(OR('Input Nilai'!$B27="",'Bobot CPMK'!$O$11=0),"",(SUMPRODUCT('Input Nilai'!BO27:BW27,'Bobot CPMK'!$E$11:$M$11)+'Input Nilai'!$BX27*'Bobot CPMK'!$N$11)/'Bobot CPMK'!$O$11)</f>
        <v/>
      </c>
      <c r="L27" s="7">
        <f>IF(OR($B27="",'Peta CPL'!$A$14=""),"",IFERROR(SUM(IF('Bobot CPMK'!$B$4='Peta CPL'!$A$14,N(D27)*'Bobot CPMK'!$P$4,0),IF('Bobot CPMK'!$B$5='Peta CPL'!$A$14,N(E27)*'Bobot CPMK'!$P$5,0),IF('Bobot CPMK'!$B$6='Peta CPL'!$A$14,N(F27)*'Bobot CPMK'!$P$6,0),IF('Bobot CPMK'!$B$7='Peta CPL'!$A$14,N(G27)*'Bobot CPMK'!$P$7,0),IF('Bobot CPMK'!$B$8='Peta CPL'!$A$14,N(H27)*'Bobot CPMK'!$P$8,0),IF('Bobot CPMK'!$B$9='Peta CPL'!$A$14,N(I27)*'Bobot CPMK'!$P$9,0),IF('Bobot CPMK'!$B$10='Peta CPL'!$A$14,N(J27)*'Bobot CPMK'!$P$10,0),IF('Bobot CPMK'!$B$11='Peta CPL'!$A$14,N(K27)*'Bobot CPMK'!$P$11,0))/SUM(IF('Bobot CPMK'!$B$4='Peta CPL'!$A$14,'Bobot CPMK'!$P$4,0),IF('Bobot CPMK'!$B$5='Peta CPL'!$A$14,'Bobot CPMK'!$P$5,0),IF('Bobot CPMK'!$B$6='Peta CPL'!$A$14,'Bobot CPMK'!$P$6,0),IF('Bobot CPMK'!$B$7='Peta CPL'!$A$14,'Bobot CPMK'!$P$7,0),IF('Bobot CPMK'!$B$8='Peta CPL'!$A$14,'Bobot CPMK'!$P$8,0),IF('Bobot CPMK'!$B$9='Peta CPL'!$A$14,'Bobot CPMK'!$P$9,0),IF('Bobot CPMK'!$B$10='Peta CPL'!$A$14,'Bobot CPMK'!$P$10,0),IF('Bobot CPMK'!$B$11='Peta CPL'!$A$14,'Bobot CPMK'!$P$11,0)),""))</f>
        <v/>
      </c>
      <c r="M27" s="7">
        <f>IF(OR($B27="",'Peta CPL'!$A$15=""),"",IFERROR(SUM(IF('Bobot CPMK'!$B$4='Peta CPL'!$A$15,N(D27)*'Bobot CPMK'!$P$4,0),IF('Bobot CPMK'!$B$5='Peta CPL'!$A$15,N(E27)*'Bobot CPMK'!$P$5,0),IF('Bobot CPMK'!$B$6='Peta CPL'!$A$15,N(F27)*'Bobot CPMK'!$P$6,0),IF('Bobot CPMK'!$B$7='Peta CPL'!$A$15,N(G27)*'Bobot CPMK'!$P$7,0),IF('Bobot CPMK'!$B$8='Peta CPL'!$A$15,N(H27)*'Bobot CPMK'!$P$8,0),IF('Bobot CPMK'!$B$9='Peta CPL'!$A$15,N(I27)*'Bobot CPMK'!$P$9,0),IF('Bobot CPMK'!$B$10='Peta CPL'!$A$15,N(J27)*'Bobot CPMK'!$P$10,0),IF('Bobot CPMK'!$B$11='Peta CPL'!$A$15,N(K27)*'Bobot CPMK'!$P$11,0))/SUM(IF('Bobot CPMK'!$B$4='Peta CPL'!$A$15,'Bobot CPMK'!$P$4,0),IF('Bobot CPMK'!$B$5='Peta CPL'!$A$15,'Bobot CPMK'!$P$5,0),IF('Bobot CPMK'!$B$6='Peta CPL'!$A$15,'Bobot CPMK'!$P$6,0),IF('Bobot CPMK'!$B$7='Peta CPL'!$A$15,'Bobot CPMK'!$P$7,0),IF('Bobot CPMK'!$B$8='Peta CPL'!$A$15,'Bobot CPMK'!$P$8,0),IF('Bobot CPMK'!$B$9='Peta CPL'!$A$15,'Bobot CPMK'!$P$9,0),IF('Bobot CPMK'!$B$10='Peta CPL'!$A$15,'Bobot CPMK'!$P$10,0),IF('Bobot CPMK'!$B$11='Peta CPL'!$A$15,'Bobot CPMK'!$P$11,0)),""))</f>
        <v/>
      </c>
      <c r="N27" s="7">
        <f>IF(OR($B27="",'Peta CPL'!$A$16=""),"",IFERROR(SUM(IF('Bobot CPMK'!$B$4='Peta CPL'!$A$16,N(D27)*'Bobot CPMK'!$P$4,0),IF('Bobot CPMK'!$B$5='Peta CPL'!$A$16,N(E27)*'Bobot CPMK'!$P$5,0),IF('Bobot CPMK'!$B$6='Peta CPL'!$A$16,N(F27)*'Bobot CPMK'!$P$6,0),IF('Bobot CPMK'!$B$7='Peta CPL'!$A$16,N(G27)*'Bobot CPMK'!$P$7,0),IF('Bobot CPMK'!$B$8='Peta CPL'!$A$16,N(H27)*'Bobot CPMK'!$P$8,0),IF('Bobot CPMK'!$B$9='Peta CPL'!$A$16,N(I27)*'Bobot CPMK'!$P$9,0),IF('Bobot CPMK'!$B$10='Peta CPL'!$A$16,N(J27)*'Bobot CPMK'!$P$10,0),IF('Bobot CPMK'!$B$11='Peta CPL'!$A$16,N(K27)*'Bobot CPMK'!$P$11,0))/SUM(IF('Bobot CPMK'!$B$4='Peta CPL'!$A$16,'Bobot CPMK'!$P$4,0),IF('Bobot CPMK'!$B$5='Peta CPL'!$A$16,'Bobot CPMK'!$P$5,0),IF('Bobot CPMK'!$B$6='Peta CPL'!$A$16,'Bobot CPMK'!$P$6,0),IF('Bobot CPMK'!$B$7='Peta CPL'!$A$16,'Bobot CPMK'!$P$7,0),IF('Bobot CPMK'!$B$8='Peta CPL'!$A$16,'Bobot CPMK'!$P$8,0),IF('Bobot CPMK'!$B$9='Peta CPL'!$A$16,'Bobot CPMK'!$P$9,0),IF('Bobot CPMK'!$B$10='Peta CPL'!$A$16,'Bobot CPMK'!$P$10,0),IF('Bobot CPMK'!$B$11='Peta CPL'!$A$16,'Bobot CPMK'!$P$11,0)),""))</f>
        <v/>
      </c>
      <c r="O27" s="7">
        <f>IF(OR($B27="",'Peta CPL'!$A$17=""),"",IFERROR(SUM(IF('Bobot CPMK'!$B$4='Peta CPL'!$A$17,N(D27)*'Bobot CPMK'!$P$4,0),IF('Bobot CPMK'!$B$5='Peta CPL'!$A$17,N(E27)*'Bobot CPMK'!$P$5,0),IF('Bobot CPMK'!$B$6='Peta CPL'!$A$17,N(F27)*'Bobot CPMK'!$P$6,0),IF('Bobot CPMK'!$B$7='Peta CPL'!$A$17,N(G27)*'Bobot CPMK'!$P$7,0),IF('Bobot CPMK'!$B$8='Peta CPL'!$A$17,N(H27)*'Bobot CPMK'!$P$8,0),IF('Bobot CPMK'!$B$9='Peta CPL'!$A$17,N(I27)*'Bobot CPMK'!$P$9,0),IF('Bobot CPMK'!$B$10='Peta CPL'!$A$17,N(J27)*'Bobot CPMK'!$P$10,0),IF('Bobot CPMK'!$B$11='Peta CPL'!$A$17,N(K27)*'Bobot CPMK'!$P$11,0))/SUM(IF('Bobot CPMK'!$B$4='Peta CPL'!$A$17,'Bobot CPMK'!$P$4,0),IF('Bobot CPMK'!$B$5='Peta CPL'!$A$17,'Bobot CPMK'!$P$5,0),IF('Bobot CPMK'!$B$6='Peta CPL'!$A$17,'Bobot CPMK'!$P$6,0),IF('Bobot CPMK'!$B$7='Peta CPL'!$A$17,'Bobot CPMK'!$P$7,0),IF('Bobot CPMK'!$B$8='Peta CPL'!$A$17,'Bobot CPMK'!$P$8,0),IF('Bobot CPMK'!$B$9='Peta CPL'!$A$17,'Bobot CPMK'!$P$9,0),IF('Bobot CPMK'!$B$10='Peta CPL'!$A$17,'Bobot CPMK'!$P$10,0),IF('Bobot CPMK'!$B$11='Peta CPL'!$A$17,'Bobot CPMK'!$P$11,0)),""))</f>
        <v/>
      </c>
      <c r="P27" s="7">
        <f>IF(OR($B27="",'Peta CPL'!$A$18=""),"",IFERROR(SUM(IF('Bobot CPMK'!$B$4='Peta CPL'!$A$18,N(D27)*'Bobot CPMK'!$P$4,0),IF('Bobot CPMK'!$B$5='Peta CPL'!$A$18,N(E27)*'Bobot CPMK'!$P$5,0),IF('Bobot CPMK'!$B$6='Peta CPL'!$A$18,N(F27)*'Bobot CPMK'!$P$6,0),IF('Bobot CPMK'!$B$7='Peta CPL'!$A$18,N(G27)*'Bobot CPMK'!$P$7,0),IF('Bobot CPMK'!$B$8='Peta CPL'!$A$18,N(H27)*'Bobot CPMK'!$P$8,0),IF('Bobot CPMK'!$B$9='Peta CPL'!$A$18,N(I27)*'Bobot CPMK'!$P$9,0),IF('Bobot CPMK'!$B$10='Peta CPL'!$A$18,N(J27)*'Bobot CPMK'!$P$10,0),IF('Bobot CPMK'!$B$11='Peta CPL'!$A$18,N(K27)*'Bobot CPMK'!$P$11,0))/SUM(IF('Bobot CPMK'!$B$4='Peta CPL'!$A$18,'Bobot CPMK'!$P$4,0),IF('Bobot CPMK'!$B$5='Peta CPL'!$A$18,'Bobot CPMK'!$P$5,0),IF('Bobot CPMK'!$B$6='Peta CPL'!$A$18,'Bobot CPMK'!$P$6,0),IF('Bobot CPMK'!$B$7='Peta CPL'!$A$18,'Bobot CPMK'!$P$7,0),IF('Bobot CPMK'!$B$8='Peta CPL'!$A$18,'Bobot CPMK'!$P$8,0),IF('Bobot CPMK'!$B$9='Peta CPL'!$A$18,'Bobot CPMK'!$P$9,0),IF('Bobot CPMK'!$B$10='Peta CPL'!$A$18,'Bobot CPMK'!$P$10,0),IF('Bobot CPMK'!$B$11='Peta CPL'!$A$18,'Bobot CPMK'!$P$11,0)),""))</f>
        <v/>
      </c>
      <c r="Q27" s="7">
        <f>IF(OR($B27="",'Peta CPL'!$A$19=""),"",IFERROR(SUM(IF('Bobot CPMK'!$B$4='Peta CPL'!$A$19,N(D27)*'Bobot CPMK'!$P$4,0),IF('Bobot CPMK'!$B$5='Peta CPL'!$A$19,N(E27)*'Bobot CPMK'!$P$5,0),IF('Bobot CPMK'!$B$6='Peta CPL'!$A$19,N(F27)*'Bobot CPMK'!$P$6,0),IF('Bobot CPMK'!$B$7='Peta CPL'!$A$19,N(G27)*'Bobot CPMK'!$P$7,0),IF('Bobot CPMK'!$B$8='Peta CPL'!$A$19,N(H27)*'Bobot CPMK'!$P$8,0),IF('Bobot CPMK'!$B$9='Peta CPL'!$A$19,N(I27)*'Bobot CPMK'!$P$9,0),IF('Bobot CPMK'!$B$10='Peta CPL'!$A$19,N(J27)*'Bobot CPMK'!$P$10,0),IF('Bobot CPMK'!$B$11='Peta CPL'!$A$19,N(K27)*'Bobot CPMK'!$P$11,0))/SUM(IF('Bobot CPMK'!$B$4='Peta CPL'!$A$19,'Bobot CPMK'!$P$4,0),IF('Bobot CPMK'!$B$5='Peta CPL'!$A$19,'Bobot CPMK'!$P$5,0),IF('Bobot CPMK'!$B$6='Peta CPL'!$A$19,'Bobot CPMK'!$P$6,0),IF('Bobot CPMK'!$B$7='Peta CPL'!$A$19,'Bobot CPMK'!$P$7,0),IF('Bobot CPMK'!$B$8='Peta CPL'!$A$19,'Bobot CPMK'!$P$8,0),IF('Bobot CPMK'!$B$9='Peta CPL'!$A$19,'Bobot CPMK'!$P$9,0),IF('Bobot CPMK'!$B$10='Peta CPL'!$A$19,'Bobot CPMK'!$P$10,0),IF('Bobot CPMK'!$B$11='Peta CPL'!$A$19,'Bobot CPMK'!$P$11,0)),""))</f>
        <v/>
      </c>
      <c r="R27" s="7">
        <f>IF(OR($B27="",'Peta CPL'!$A$20=""),"",IFERROR(SUM(IF('Bobot CPMK'!$B$4='Peta CPL'!$A$20,N(D27)*'Bobot CPMK'!$P$4,0),IF('Bobot CPMK'!$B$5='Peta CPL'!$A$20,N(E27)*'Bobot CPMK'!$P$5,0),IF('Bobot CPMK'!$B$6='Peta CPL'!$A$20,N(F27)*'Bobot CPMK'!$P$6,0),IF('Bobot CPMK'!$B$7='Peta CPL'!$A$20,N(G27)*'Bobot CPMK'!$P$7,0),IF('Bobot CPMK'!$B$8='Peta CPL'!$A$20,N(H27)*'Bobot CPMK'!$P$8,0),IF('Bobot CPMK'!$B$9='Peta CPL'!$A$20,N(I27)*'Bobot CPMK'!$P$9,0),IF('Bobot CPMK'!$B$10='Peta CPL'!$A$20,N(J27)*'Bobot CPMK'!$P$10,0),IF('Bobot CPMK'!$B$11='Peta CPL'!$A$20,N(K27)*'Bobot CPMK'!$P$11,0))/SUM(IF('Bobot CPMK'!$B$4='Peta CPL'!$A$20,'Bobot CPMK'!$P$4,0),IF('Bobot CPMK'!$B$5='Peta CPL'!$A$20,'Bobot CPMK'!$P$5,0),IF('Bobot CPMK'!$B$6='Peta CPL'!$A$20,'Bobot CPMK'!$P$6,0),IF('Bobot CPMK'!$B$7='Peta CPL'!$A$20,'Bobot CPMK'!$P$7,0),IF('Bobot CPMK'!$B$8='Peta CPL'!$A$20,'Bobot CPMK'!$P$8,0),IF('Bobot CPMK'!$B$9='Peta CPL'!$A$20,'Bobot CPMK'!$P$9,0),IF('Bobot CPMK'!$B$10='Peta CPL'!$A$20,'Bobot CPMK'!$P$10,0),IF('Bobot CPMK'!$B$11='Peta CPL'!$A$20,'Bobot CPMK'!$P$11,0)),""))</f>
        <v/>
      </c>
      <c r="S27" s="7">
        <f>IF(OR($B27="",'Peta CPL'!$A$21=""),"",IFERROR(SUM(IF('Bobot CPMK'!$B$4='Peta CPL'!$A$21,N(D27)*'Bobot CPMK'!$P$4,0),IF('Bobot CPMK'!$B$5='Peta CPL'!$A$21,N(E27)*'Bobot CPMK'!$P$5,0),IF('Bobot CPMK'!$B$6='Peta CPL'!$A$21,N(F27)*'Bobot CPMK'!$P$6,0),IF('Bobot CPMK'!$B$7='Peta CPL'!$A$21,N(G27)*'Bobot CPMK'!$P$7,0),IF('Bobot CPMK'!$B$8='Peta CPL'!$A$21,N(H27)*'Bobot CPMK'!$P$8,0),IF('Bobot CPMK'!$B$9='Peta CPL'!$A$21,N(I27)*'Bobot CPMK'!$P$9,0),IF('Bobot CPMK'!$B$10='Peta CPL'!$A$21,N(J27)*'Bobot CPMK'!$P$10,0),IF('Bobot CPMK'!$B$11='Peta CPL'!$A$21,N(K27)*'Bobot CPMK'!$P$11,0))/SUM(IF('Bobot CPMK'!$B$4='Peta CPL'!$A$21,'Bobot CPMK'!$P$4,0),IF('Bobot CPMK'!$B$5='Peta CPL'!$A$21,'Bobot CPMK'!$P$5,0),IF('Bobot CPMK'!$B$6='Peta CPL'!$A$21,'Bobot CPMK'!$P$6,0),IF('Bobot CPMK'!$B$7='Peta CPL'!$A$21,'Bobot CPMK'!$P$7,0),IF('Bobot CPMK'!$B$8='Peta CPL'!$A$21,'Bobot CPMK'!$P$8,0),IF('Bobot CPMK'!$B$9='Peta CPL'!$A$21,'Bobot CPMK'!$P$9,0),IF('Bobot CPMK'!$B$10='Peta CPL'!$A$21,'Bobot CPMK'!$P$10,0),IF('Bobot CPMK'!$B$11='Peta CPL'!$A$21,'Bobot CPMK'!$P$11,0)),""))</f>
        <v/>
      </c>
      <c r="T27" s="7">
        <f>IF(OR($B27="",'Peta CPL'!$A$5=""),"",IFERROR((N(L27)*N('Peta CPL'!$C$14)*N('Peta CPL'!$D$14)+N(M27)*N('Peta CPL'!$C$15)*N('Peta CPL'!$D$15)+N(N27)*N('Peta CPL'!$C$16)*N('Peta CPL'!$D$16)+N(O27)*N('Peta CPL'!$C$17)*N('Peta CPL'!$D$17)+N(P27)*N('Peta CPL'!$C$18)*N('Peta CPL'!$D$18)+N(Q27)*N('Peta CPL'!$C$19)*N('Peta CPL'!$D$19)+N(R27)*N('Peta CPL'!$C$20)*N('Peta CPL'!$D$20)+N(S27)*N('Peta CPL'!$C$21)*N('Peta CPL'!$D$21))/(N('Peta CPL'!$C$14)*N('Peta CPL'!$D$14)+N('Peta CPL'!$C$15)*N('Peta CPL'!$D$15)+N('Peta CPL'!$C$16)*N('Peta CPL'!$D$16)+N('Peta CPL'!$C$17)*N('Peta CPL'!$D$17)+N('Peta CPL'!$C$18)*N('Peta CPL'!$D$18)+N('Peta CPL'!$C$19)*N('Peta CPL'!$D$19)+N('Peta CPL'!$C$20)*N('Peta CPL'!$D$20)+N('Peta CPL'!$C$21)*N('Peta CPL'!$D$21)),""))</f>
        <v/>
      </c>
      <c r="U27" s="7">
        <f>IF(OR($B27="",'Peta CPL'!$A$6=""),"",IFERROR((N(L27)*N('Peta CPL'!$C$14)*N('Peta CPL'!$E$14)+N(M27)*N('Peta CPL'!$C$15)*N('Peta CPL'!$E$15)+N(N27)*N('Peta CPL'!$C$16)*N('Peta CPL'!$E$16)+N(O27)*N('Peta CPL'!$C$17)*N('Peta CPL'!$E$17)+N(P27)*N('Peta CPL'!$C$18)*N('Peta CPL'!$E$18)+N(Q27)*N('Peta CPL'!$C$19)*N('Peta CPL'!$E$19)+N(R27)*N('Peta CPL'!$C$20)*N('Peta CPL'!$E$20)+N(S27)*N('Peta CPL'!$C$21)*N('Peta CPL'!$E$21))/(N('Peta CPL'!$C$14)*N('Peta CPL'!$E$14)+N('Peta CPL'!$C$15)*N('Peta CPL'!$E$15)+N('Peta CPL'!$C$16)*N('Peta CPL'!$E$16)+N('Peta CPL'!$C$17)*N('Peta CPL'!$E$17)+N('Peta CPL'!$C$18)*N('Peta CPL'!$E$18)+N('Peta CPL'!$C$19)*N('Peta CPL'!$E$19)+N('Peta CPL'!$C$20)*N('Peta CPL'!$E$20)+N('Peta CPL'!$C$21)*N('Peta CPL'!$E$21)),""))</f>
        <v/>
      </c>
      <c r="V27" s="7">
        <f>IF(OR($B27="",'Peta CPL'!$A$7=""),"",IFERROR((N(L27)*N('Peta CPL'!$C$14)*N('Peta CPL'!$F$14)+N(M27)*N('Peta CPL'!$C$15)*N('Peta CPL'!$F$15)+N(N27)*N('Peta CPL'!$C$16)*N('Peta CPL'!$F$16)+N(O27)*N('Peta CPL'!$C$17)*N('Peta CPL'!$F$17)+N(P27)*N('Peta CPL'!$C$18)*N('Peta CPL'!$F$18)+N(Q27)*N('Peta CPL'!$C$19)*N('Peta CPL'!$F$19)+N(R27)*N('Peta CPL'!$C$20)*N('Peta CPL'!$F$20)+N(S27)*N('Peta CPL'!$C$21)*N('Peta CPL'!$F$21))/(N('Peta CPL'!$C$14)*N('Peta CPL'!$F$14)+N('Peta CPL'!$C$15)*N('Peta CPL'!$F$15)+N('Peta CPL'!$C$16)*N('Peta CPL'!$F$16)+N('Peta CPL'!$C$17)*N('Peta CPL'!$F$17)+N('Peta CPL'!$C$18)*N('Peta CPL'!$F$18)+N('Peta CPL'!$C$19)*N('Peta CPL'!$F$19)+N('Peta CPL'!$C$20)*N('Peta CPL'!$F$20)+N('Peta CPL'!$C$21)*N('Peta CPL'!$F$21)),""))</f>
        <v/>
      </c>
      <c r="W27" s="7">
        <f>IF(OR($B27="",'Peta CPL'!$A$8=""),"",IFERROR((N(L27)*N('Peta CPL'!$C$14)*N('Peta CPL'!$G$14)+N(M27)*N('Peta CPL'!$C$15)*N('Peta CPL'!$G$15)+N(N27)*N('Peta CPL'!$C$16)*N('Peta CPL'!$G$16)+N(O27)*N('Peta CPL'!$C$17)*N('Peta CPL'!$G$17)+N(P27)*N('Peta CPL'!$C$18)*N('Peta CPL'!$G$18)+N(Q27)*N('Peta CPL'!$C$19)*N('Peta CPL'!$G$19)+N(R27)*N('Peta CPL'!$C$20)*N('Peta CPL'!$G$20)+N(S27)*N('Peta CPL'!$C$21)*N('Peta CPL'!$G$21))/(N('Peta CPL'!$C$14)*N('Peta CPL'!$G$14)+N('Peta CPL'!$C$15)*N('Peta CPL'!$G$15)+N('Peta CPL'!$C$16)*N('Peta CPL'!$G$16)+N('Peta CPL'!$C$17)*N('Peta CPL'!$G$17)+N('Peta CPL'!$C$18)*N('Peta CPL'!$G$18)+N('Peta CPL'!$C$19)*N('Peta CPL'!$G$19)+N('Peta CPL'!$C$20)*N('Peta CPL'!$G$20)+N('Peta CPL'!$C$21)*N('Peta CPL'!$G$21)),""))</f>
        <v/>
      </c>
      <c r="X27" s="7">
        <f>IF(OR($B27="",'Peta CPL'!$A$9=""),"",IFERROR((N(L27)*N('Peta CPL'!$C$14)*N('Peta CPL'!$H$14)+N(M27)*N('Peta CPL'!$C$15)*N('Peta CPL'!$H$15)+N(N27)*N('Peta CPL'!$C$16)*N('Peta CPL'!$H$16)+N(O27)*N('Peta CPL'!$C$17)*N('Peta CPL'!$H$17)+N(P27)*N('Peta CPL'!$C$18)*N('Peta CPL'!$H$18)+N(Q27)*N('Peta CPL'!$C$19)*N('Peta CPL'!$H$19)+N(R27)*N('Peta CPL'!$C$20)*N('Peta CPL'!$H$20)+N(S27)*N('Peta CPL'!$C$21)*N('Peta CPL'!$H$21))/(N('Peta CPL'!$C$14)*N('Peta CPL'!$H$14)+N('Peta CPL'!$C$15)*N('Peta CPL'!$H$15)+N('Peta CPL'!$C$16)*N('Peta CPL'!$H$16)+N('Peta CPL'!$C$17)*N('Peta CPL'!$H$17)+N('Peta CPL'!$C$18)*N('Peta CPL'!$H$18)+N('Peta CPL'!$C$19)*N('Peta CPL'!$H$19)+N('Peta CPL'!$C$20)*N('Peta CPL'!$H$20)+N('Peta CPL'!$C$21)*N('Peta CPL'!$H$21)),""))</f>
        <v/>
      </c>
      <c r="Y27" s="7">
        <f>IF(OR($B27="",'Peta CPL'!$A$10=""),"",IFERROR((N(L27)*N('Peta CPL'!$C$14)*N('Peta CPL'!$I$14)+N(M27)*N('Peta CPL'!$C$15)*N('Peta CPL'!$I$15)+N(N27)*N('Peta CPL'!$C$16)*N('Peta CPL'!$I$16)+N(O27)*N('Peta CPL'!$C$17)*N('Peta CPL'!$I$17)+N(P27)*N('Peta CPL'!$C$18)*N('Peta CPL'!$I$18)+N(Q27)*N('Peta CPL'!$C$19)*N('Peta CPL'!$I$19)+N(R27)*N('Peta CPL'!$C$20)*N('Peta CPL'!$I$20)+N(S27)*N('Peta CPL'!$C$21)*N('Peta CPL'!$I$21))/(N('Peta CPL'!$C$14)*N('Peta CPL'!$I$14)+N('Peta CPL'!$C$15)*N('Peta CPL'!$I$15)+N('Peta CPL'!$C$16)*N('Peta CPL'!$I$16)+N('Peta CPL'!$C$17)*N('Peta CPL'!$I$17)+N('Peta CPL'!$C$18)*N('Peta CPL'!$I$18)+N('Peta CPL'!$C$19)*N('Peta CPL'!$I$19)+N('Peta CPL'!$C$20)*N('Peta CPL'!$I$20)+N('Peta CPL'!$C$21)*N('Peta CPL'!$I$21)),""))</f>
        <v/>
      </c>
      <c r="Z27" s="7">
        <f>IF($B27="","",IFERROR((N(L27)*N('Peta CPL'!$C$14)+N(M27)*N('Peta CPL'!$C$15)+N(N27)*N('Peta CPL'!$C$16)+N(O27)*N('Peta CPL'!$C$17)+N(P27)*N('Peta CPL'!$C$18)+N(Q27)*N('Peta CPL'!$C$19)+N(R27)*N('Peta CPL'!$C$20)+N(S27)*N('Peta CPL'!$C$21))/100,""))</f>
        <v/>
      </c>
    </row>
    <row r="28">
      <c r="A28" s="7">
        <f>'Input Nilai'!A28</f>
        <v/>
      </c>
      <c r="B28" s="7">
        <f>'Input Nilai'!B28</f>
        <v/>
      </c>
      <c r="C28" s="15">
        <f>'Input Nilai'!C28</f>
        <v/>
      </c>
      <c r="D28" s="7">
        <f>IF(OR('Input Nilai'!$B28="",'Bobot CPMK'!$O$4=0),"",(SUMPRODUCT('Input Nilai'!D28:L28,'Bobot CPMK'!$E$4:$M$4)+'Input Nilai'!$BX28*'Bobot CPMK'!$N$4)/'Bobot CPMK'!$O$4)</f>
        <v/>
      </c>
      <c r="E28" s="7">
        <f>IF(OR('Input Nilai'!$B28="",'Bobot CPMK'!$O$5=0),"",(SUMPRODUCT('Input Nilai'!M28:U28,'Bobot CPMK'!$E$5:$M$5)+'Input Nilai'!$BX28*'Bobot CPMK'!$N$5)/'Bobot CPMK'!$O$5)</f>
        <v/>
      </c>
      <c r="F28" s="7">
        <f>IF(OR('Input Nilai'!$B28="",'Bobot CPMK'!$O$6=0),"",(SUMPRODUCT('Input Nilai'!V28:AD28,'Bobot CPMK'!$E$6:$M$6)+'Input Nilai'!$BX28*'Bobot CPMK'!$N$6)/'Bobot CPMK'!$O$6)</f>
        <v/>
      </c>
      <c r="G28" s="7">
        <f>IF(OR('Input Nilai'!$B28="",'Bobot CPMK'!$O$7=0),"",(SUMPRODUCT('Input Nilai'!AE28:AM28,'Bobot CPMK'!$E$7:$M$7)+'Input Nilai'!$BX28*'Bobot CPMK'!$N$7)/'Bobot CPMK'!$O$7)</f>
        <v/>
      </c>
      <c r="H28" s="7">
        <f>IF(OR('Input Nilai'!$B28="",'Bobot CPMK'!$O$8=0),"",(SUMPRODUCT('Input Nilai'!AN28:AV28,'Bobot CPMK'!$E$8:$M$8)+'Input Nilai'!$BX28*'Bobot CPMK'!$N$8)/'Bobot CPMK'!$O$8)</f>
        <v/>
      </c>
      <c r="I28" s="7">
        <f>IF(OR('Input Nilai'!$B28="",'Bobot CPMK'!$O$9=0),"",(SUMPRODUCT('Input Nilai'!AW28:BE28,'Bobot CPMK'!$E$9:$M$9)+'Input Nilai'!$BX28*'Bobot CPMK'!$N$9)/'Bobot CPMK'!$O$9)</f>
        <v/>
      </c>
      <c r="J28" s="7">
        <f>IF(OR('Input Nilai'!$B28="",'Bobot CPMK'!$O$10=0),"",(SUMPRODUCT('Input Nilai'!BF28:BN28,'Bobot CPMK'!$E$10:$M$10)+'Input Nilai'!$BX28*'Bobot CPMK'!$N$10)/'Bobot CPMK'!$O$10)</f>
        <v/>
      </c>
      <c r="K28" s="7">
        <f>IF(OR('Input Nilai'!$B28="",'Bobot CPMK'!$O$11=0),"",(SUMPRODUCT('Input Nilai'!BO28:BW28,'Bobot CPMK'!$E$11:$M$11)+'Input Nilai'!$BX28*'Bobot CPMK'!$N$11)/'Bobot CPMK'!$O$11)</f>
        <v/>
      </c>
      <c r="L28" s="7">
        <f>IF(OR($B28="",'Peta CPL'!$A$14=""),"",IFERROR(SUM(IF('Bobot CPMK'!$B$4='Peta CPL'!$A$14,N(D28)*'Bobot CPMK'!$P$4,0),IF('Bobot CPMK'!$B$5='Peta CPL'!$A$14,N(E28)*'Bobot CPMK'!$P$5,0),IF('Bobot CPMK'!$B$6='Peta CPL'!$A$14,N(F28)*'Bobot CPMK'!$P$6,0),IF('Bobot CPMK'!$B$7='Peta CPL'!$A$14,N(G28)*'Bobot CPMK'!$P$7,0),IF('Bobot CPMK'!$B$8='Peta CPL'!$A$14,N(H28)*'Bobot CPMK'!$P$8,0),IF('Bobot CPMK'!$B$9='Peta CPL'!$A$14,N(I28)*'Bobot CPMK'!$P$9,0),IF('Bobot CPMK'!$B$10='Peta CPL'!$A$14,N(J28)*'Bobot CPMK'!$P$10,0),IF('Bobot CPMK'!$B$11='Peta CPL'!$A$14,N(K28)*'Bobot CPMK'!$P$11,0))/SUM(IF('Bobot CPMK'!$B$4='Peta CPL'!$A$14,'Bobot CPMK'!$P$4,0),IF('Bobot CPMK'!$B$5='Peta CPL'!$A$14,'Bobot CPMK'!$P$5,0),IF('Bobot CPMK'!$B$6='Peta CPL'!$A$14,'Bobot CPMK'!$P$6,0),IF('Bobot CPMK'!$B$7='Peta CPL'!$A$14,'Bobot CPMK'!$P$7,0),IF('Bobot CPMK'!$B$8='Peta CPL'!$A$14,'Bobot CPMK'!$P$8,0),IF('Bobot CPMK'!$B$9='Peta CPL'!$A$14,'Bobot CPMK'!$P$9,0),IF('Bobot CPMK'!$B$10='Peta CPL'!$A$14,'Bobot CPMK'!$P$10,0),IF('Bobot CPMK'!$B$11='Peta CPL'!$A$14,'Bobot CPMK'!$P$11,0)),""))</f>
        <v/>
      </c>
      <c r="M28" s="7">
        <f>IF(OR($B28="",'Peta CPL'!$A$15=""),"",IFERROR(SUM(IF('Bobot CPMK'!$B$4='Peta CPL'!$A$15,N(D28)*'Bobot CPMK'!$P$4,0),IF('Bobot CPMK'!$B$5='Peta CPL'!$A$15,N(E28)*'Bobot CPMK'!$P$5,0),IF('Bobot CPMK'!$B$6='Peta CPL'!$A$15,N(F28)*'Bobot CPMK'!$P$6,0),IF('Bobot CPMK'!$B$7='Peta CPL'!$A$15,N(G28)*'Bobot CPMK'!$P$7,0),IF('Bobot CPMK'!$B$8='Peta CPL'!$A$15,N(H28)*'Bobot CPMK'!$P$8,0),IF('Bobot CPMK'!$B$9='Peta CPL'!$A$15,N(I28)*'Bobot CPMK'!$P$9,0),IF('Bobot CPMK'!$B$10='Peta CPL'!$A$15,N(J28)*'Bobot CPMK'!$P$10,0),IF('Bobot CPMK'!$B$11='Peta CPL'!$A$15,N(K28)*'Bobot CPMK'!$P$11,0))/SUM(IF('Bobot CPMK'!$B$4='Peta CPL'!$A$15,'Bobot CPMK'!$P$4,0),IF('Bobot CPMK'!$B$5='Peta CPL'!$A$15,'Bobot CPMK'!$P$5,0),IF('Bobot CPMK'!$B$6='Peta CPL'!$A$15,'Bobot CPMK'!$P$6,0),IF('Bobot CPMK'!$B$7='Peta CPL'!$A$15,'Bobot CPMK'!$P$7,0),IF('Bobot CPMK'!$B$8='Peta CPL'!$A$15,'Bobot CPMK'!$P$8,0),IF('Bobot CPMK'!$B$9='Peta CPL'!$A$15,'Bobot CPMK'!$P$9,0),IF('Bobot CPMK'!$B$10='Peta CPL'!$A$15,'Bobot CPMK'!$P$10,0),IF('Bobot CPMK'!$B$11='Peta CPL'!$A$15,'Bobot CPMK'!$P$11,0)),""))</f>
        <v/>
      </c>
      <c r="N28" s="7">
        <f>IF(OR($B28="",'Peta CPL'!$A$16=""),"",IFERROR(SUM(IF('Bobot CPMK'!$B$4='Peta CPL'!$A$16,N(D28)*'Bobot CPMK'!$P$4,0),IF('Bobot CPMK'!$B$5='Peta CPL'!$A$16,N(E28)*'Bobot CPMK'!$P$5,0),IF('Bobot CPMK'!$B$6='Peta CPL'!$A$16,N(F28)*'Bobot CPMK'!$P$6,0),IF('Bobot CPMK'!$B$7='Peta CPL'!$A$16,N(G28)*'Bobot CPMK'!$P$7,0),IF('Bobot CPMK'!$B$8='Peta CPL'!$A$16,N(H28)*'Bobot CPMK'!$P$8,0),IF('Bobot CPMK'!$B$9='Peta CPL'!$A$16,N(I28)*'Bobot CPMK'!$P$9,0),IF('Bobot CPMK'!$B$10='Peta CPL'!$A$16,N(J28)*'Bobot CPMK'!$P$10,0),IF('Bobot CPMK'!$B$11='Peta CPL'!$A$16,N(K28)*'Bobot CPMK'!$P$11,0))/SUM(IF('Bobot CPMK'!$B$4='Peta CPL'!$A$16,'Bobot CPMK'!$P$4,0),IF('Bobot CPMK'!$B$5='Peta CPL'!$A$16,'Bobot CPMK'!$P$5,0),IF('Bobot CPMK'!$B$6='Peta CPL'!$A$16,'Bobot CPMK'!$P$6,0),IF('Bobot CPMK'!$B$7='Peta CPL'!$A$16,'Bobot CPMK'!$P$7,0),IF('Bobot CPMK'!$B$8='Peta CPL'!$A$16,'Bobot CPMK'!$P$8,0),IF('Bobot CPMK'!$B$9='Peta CPL'!$A$16,'Bobot CPMK'!$P$9,0),IF('Bobot CPMK'!$B$10='Peta CPL'!$A$16,'Bobot CPMK'!$P$10,0),IF('Bobot CPMK'!$B$11='Peta CPL'!$A$16,'Bobot CPMK'!$P$11,0)),""))</f>
        <v/>
      </c>
      <c r="O28" s="7">
        <f>IF(OR($B28="",'Peta CPL'!$A$17=""),"",IFERROR(SUM(IF('Bobot CPMK'!$B$4='Peta CPL'!$A$17,N(D28)*'Bobot CPMK'!$P$4,0),IF('Bobot CPMK'!$B$5='Peta CPL'!$A$17,N(E28)*'Bobot CPMK'!$P$5,0),IF('Bobot CPMK'!$B$6='Peta CPL'!$A$17,N(F28)*'Bobot CPMK'!$P$6,0),IF('Bobot CPMK'!$B$7='Peta CPL'!$A$17,N(G28)*'Bobot CPMK'!$P$7,0),IF('Bobot CPMK'!$B$8='Peta CPL'!$A$17,N(H28)*'Bobot CPMK'!$P$8,0),IF('Bobot CPMK'!$B$9='Peta CPL'!$A$17,N(I28)*'Bobot CPMK'!$P$9,0),IF('Bobot CPMK'!$B$10='Peta CPL'!$A$17,N(J28)*'Bobot CPMK'!$P$10,0),IF('Bobot CPMK'!$B$11='Peta CPL'!$A$17,N(K28)*'Bobot CPMK'!$P$11,0))/SUM(IF('Bobot CPMK'!$B$4='Peta CPL'!$A$17,'Bobot CPMK'!$P$4,0),IF('Bobot CPMK'!$B$5='Peta CPL'!$A$17,'Bobot CPMK'!$P$5,0),IF('Bobot CPMK'!$B$6='Peta CPL'!$A$17,'Bobot CPMK'!$P$6,0),IF('Bobot CPMK'!$B$7='Peta CPL'!$A$17,'Bobot CPMK'!$P$7,0),IF('Bobot CPMK'!$B$8='Peta CPL'!$A$17,'Bobot CPMK'!$P$8,0),IF('Bobot CPMK'!$B$9='Peta CPL'!$A$17,'Bobot CPMK'!$P$9,0),IF('Bobot CPMK'!$B$10='Peta CPL'!$A$17,'Bobot CPMK'!$P$10,0),IF('Bobot CPMK'!$B$11='Peta CPL'!$A$17,'Bobot CPMK'!$P$11,0)),""))</f>
        <v/>
      </c>
      <c r="P28" s="7">
        <f>IF(OR($B28="",'Peta CPL'!$A$18=""),"",IFERROR(SUM(IF('Bobot CPMK'!$B$4='Peta CPL'!$A$18,N(D28)*'Bobot CPMK'!$P$4,0),IF('Bobot CPMK'!$B$5='Peta CPL'!$A$18,N(E28)*'Bobot CPMK'!$P$5,0),IF('Bobot CPMK'!$B$6='Peta CPL'!$A$18,N(F28)*'Bobot CPMK'!$P$6,0),IF('Bobot CPMK'!$B$7='Peta CPL'!$A$18,N(G28)*'Bobot CPMK'!$P$7,0),IF('Bobot CPMK'!$B$8='Peta CPL'!$A$18,N(H28)*'Bobot CPMK'!$P$8,0),IF('Bobot CPMK'!$B$9='Peta CPL'!$A$18,N(I28)*'Bobot CPMK'!$P$9,0),IF('Bobot CPMK'!$B$10='Peta CPL'!$A$18,N(J28)*'Bobot CPMK'!$P$10,0),IF('Bobot CPMK'!$B$11='Peta CPL'!$A$18,N(K28)*'Bobot CPMK'!$P$11,0))/SUM(IF('Bobot CPMK'!$B$4='Peta CPL'!$A$18,'Bobot CPMK'!$P$4,0),IF('Bobot CPMK'!$B$5='Peta CPL'!$A$18,'Bobot CPMK'!$P$5,0),IF('Bobot CPMK'!$B$6='Peta CPL'!$A$18,'Bobot CPMK'!$P$6,0),IF('Bobot CPMK'!$B$7='Peta CPL'!$A$18,'Bobot CPMK'!$P$7,0),IF('Bobot CPMK'!$B$8='Peta CPL'!$A$18,'Bobot CPMK'!$P$8,0),IF('Bobot CPMK'!$B$9='Peta CPL'!$A$18,'Bobot CPMK'!$P$9,0),IF('Bobot CPMK'!$B$10='Peta CPL'!$A$18,'Bobot CPMK'!$P$10,0),IF('Bobot CPMK'!$B$11='Peta CPL'!$A$18,'Bobot CPMK'!$P$11,0)),""))</f>
        <v/>
      </c>
      <c r="Q28" s="7">
        <f>IF(OR($B28="",'Peta CPL'!$A$19=""),"",IFERROR(SUM(IF('Bobot CPMK'!$B$4='Peta CPL'!$A$19,N(D28)*'Bobot CPMK'!$P$4,0),IF('Bobot CPMK'!$B$5='Peta CPL'!$A$19,N(E28)*'Bobot CPMK'!$P$5,0),IF('Bobot CPMK'!$B$6='Peta CPL'!$A$19,N(F28)*'Bobot CPMK'!$P$6,0),IF('Bobot CPMK'!$B$7='Peta CPL'!$A$19,N(G28)*'Bobot CPMK'!$P$7,0),IF('Bobot CPMK'!$B$8='Peta CPL'!$A$19,N(H28)*'Bobot CPMK'!$P$8,0),IF('Bobot CPMK'!$B$9='Peta CPL'!$A$19,N(I28)*'Bobot CPMK'!$P$9,0),IF('Bobot CPMK'!$B$10='Peta CPL'!$A$19,N(J28)*'Bobot CPMK'!$P$10,0),IF('Bobot CPMK'!$B$11='Peta CPL'!$A$19,N(K28)*'Bobot CPMK'!$P$11,0))/SUM(IF('Bobot CPMK'!$B$4='Peta CPL'!$A$19,'Bobot CPMK'!$P$4,0),IF('Bobot CPMK'!$B$5='Peta CPL'!$A$19,'Bobot CPMK'!$P$5,0),IF('Bobot CPMK'!$B$6='Peta CPL'!$A$19,'Bobot CPMK'!$P$6,0),IF('Bobot CPMK'!$B$7='Peta CPL'!$A$19,'Bobot CPMK'!$P$7,0),IF('Bobot CPMK'!$B$8='Peta CPL'!$A$19,'Bobot CPMK'!$P$8,0),IF('Bobot CPMK'!$B$9='Peta CPL'!$A$19,'Bobot CPMK'!$P$9,0),IF('Bobot CPMK'!$B$10='Peta CPL'!$A$19,'Bobot CPMK'!$P$10,0),IF('Bobot CPMK'!$B$11='Peta CPL'!$A$19,'Bobot CPMK'!$P$11,0)),""))</f>
        <v/>
      </c>
      <c r="R28" s="7">
        <f>IF(OR($B28="",'Peta CPL'!$A$20=""),"",IFERROR(SUM(IF('Bobot CPMK'!$B$4='Peta CPL'!$A$20,N(D28)*'Bobot CPMK'!$P$4,0),IF('Bobot CPMK'!$B$5='Peta CPL'!$A$20,N(E28)*'Bobot CPMK'!$P$5,0),IF('Bobot CPMK'!$B$6='Peta CPL'!$A$20,N(F28)*'Bobot CPMK'!$P$6,0),IF('Bobot CPMK'!$B$7='Peta CPL'!$A$20,N(G28)*'Bobot CPMK'!$P$7,0),IF('Bobot CPMK'!$B$8='Peta CPL'!$A$20,N(H28)*'Bobot CPMK'!$P$8,0),IF('Bobot CPMK'!$B$9='Peta CPL'!$A$20,N(I28)*'Bobot CPMK'!$P$9,0),IF('Bobot CPMK'!$B$10='Peta CPL'!$A$20,N(J28)*'Bobot CPMK'!$P$10,0),IF('Bobot CPMK'!$B$11='Peta CPL'!$A$20,N(K28)*'Bobot CPMK'!$P$11,0))/SUM(IF('Bobot CPMK'!$B$4='Peta CPL'!$A$20,'Bobot CPMK'!$P$4,0),IF('Bobot CPMK'!$B$5='Peta CPL'!$A$20,'Bobot CPMK'!$P$5,0),IF('Bobot CPMK'!$B$6='Peta CPL'!$A$20,'Bobot CPMK'!$P$6,0),IF('Bobot CPMK'!$B$7='Peta CPL'!$A$20,'Bobot CPMK'!$P$7,0),IF('Bobot CPMK'!$B$8='Peta CPL'!$A$20,'Bobot CPMK'!$P$8,0),IF('Bobot CPMK'!$B$9='Peta CPL'!$A$20,'Bobot CPMK'!$P$9,0),IF('Bobot CPMK'!$B$10='Peta CPL'!$A$20,'Bobot CPMK'!$P$10,0),IF('Bobot CPMK'!$B$11='Peta CPL'!$A$20,'Bobot CPMK'!$P$11,0)),""))</f>
        <v/>
      </c>
      <c r="S28" s="7">
        <f>IF(OR($B28="",'Peta CPL'!$A$21=""),"",IFERROR(SUM(IF('Bobot CPMK'!$B$4='Peta CPL'!$A$21,N(D28)*'Bobot CPMK'!$P$4,0),IF('Bobot CPMK'!$B$5='Peta CPL'!$A$21,N(E28)*'Bobot CPMK'!$P$5,0),IF('Bobot CPMK'!$B$6='Peta CPL'!$A$21,N(F28)*'Bobot CPMK'!$P$6,0),IF('Bobot CPMK'!$B$7='Peta CPL'!$A$21,N(G28)*'Bobot CPMK'!$P$7,0),IF('Bobot CPMK'!$B$8='Peta CPL'!$A$21,N(H28)*'Bobot CPMK'!$P$8,0),IF('Bobot CPMK'!$B$9='Peta CPL'!$A$21,N(I28)*'Bobot CPMK'!$P$9,0),IF('Bobot CPMK'!$B$10='Peta CPL'!$A$21,N(J28)*'Bobot CPMK'!$P$10,0),IF('Bobot CPMK'!$B$11='Peta CPL'!$A$21,N(K28)*'Bobot CPMK'!$P$11,0))/SUM(IF('Bobot CPMK'!$B$4='Peta CPL'!$A$21,'Bobot CPMK'!$P$4,0),IF('Bobot CPMK'!$B$5='Peta CPL'!$A$21,'Bobot CPMK'!$P$5,0),IF('Bobot CPMK'!$B$6='Peta CPL'!$A$21,'Bobot CPMK'!$P$6,0),IF('Bobot CPMK'!$B$7='Peta CPL'!$A$21,'Bobot CPMK'!$P$7,0),IF('Bobot CPMK'!$B$8='Peta CPL'!$A$21,'Bobot CPMK'!$P$8,0),IF('Bobot CPMK'!$B$9='Peta CPL'!$A$21,'Bobot CPMK'!$P$9,0),IF('Bobot CPMK'!$B$10='Peta CPL'!$A$21,'Bobot CPMK'!$P$10,0),IF('Bobot CPMK'!$B$11='Peta CPL'!$A$21,'Bobot CPMK'!$P$11,0)),""))</f>
        <v/>
      </c>
      <c r="T28" s="7">
        <f>IF(OR($B28="",'Peta CPL'!$A$5=""),"",IFERROR((N(L28)*N('Peta CPL'!$C$14)*N('Peta CPL'!$D$14)+N(M28)*N('Peta CPL'!$C$15)*N('Peta CPL'!$D$15)+N(N28)*N('Peta CPL'!$C$16)*N('Peta CPL'!$D$16)+N(O28)*N('Peta CPL'!$C$17)*N('Peta CPL'!$D$17)+N(P28)*N('Peta CPL'!$C$18)*N('Peta CPL'!$D$18)+N(Q28)*N('Peta CPL'!$C$19)*N('Peta CPL'!$D$19)+N(R28)*N('Peta CPL'!$C$20)*N('Peta CPL'!$D$20)+N(S28)*N('Peta CPL'!$C$21)*N('Peta CPL'!$D$21))/(N('Peta CPL'!$C$14)*N('Peta CPL'!$D$14)+N('Peta CPL'!$C$15)*N('Peta CPL'!$D$15)+N('Peta CPL'!$C$16)*N('Peta CPL'!$D$16)+N('Peta CPL'!$C$17)*N('Peta CPL'!$D$17)+N('Peta CPL'!$C$18)*N('Peta CPL'!$D$18)+N('Peta CPL'!$C$19)*N('Peta CPL'!$D$19)+N('Peta CPL'!$C$20)*N('Peta CPL'!$D$20)+N('Peta CPL'!$C$21)*N('Peta CPL'!$D$21)),""))</f>
        <v/>
      </c>
      <c r="U28" s="7">
        <f>IF(OR($B28="",'Peta CPL'!$A$6=""),"",IFERROR((N(L28)*N('Peta CPL'!$C$14)*N('Peta CPL'!$E$14)+N(M28)*N('Peta CPL'!$C$15)*N('Peta CPL'!$E$15)+N(N28)*N('Peta CPL'!$C$16)*N('Peta CPL'!$E$16)+N(O28)*N('Peta CPL'!$C$17)*N('Peta CPL'!$E$17)+N(P28)*N('Peta CPL'!$C$18)*N('Peta CPL'!$E$18)+N(Q28)*N('Peta CPL'!$C$19)*N('Peta CPL'!$E$19)+N(R28)*N('Peta CPL'!$C$20)*N('Peta CPL'!$E$20)+N(S28)*N('Peta CPL'!$C$21)*N('Peta CPL'!$E$21))/(N('Peta CPL'!$C$14)*N('Peta CPL'!$E$14)+N('Peta CPL'!$C$15)*N('Peta CPL'!$E$15)+N('Peta CPL'!$C$16)*N('Peta CPL'!$E$16)+N('Peta CPL'!$C$17)*N('Peta CPL'!$E$17)+N('Peta CPL'!$C$18)*N('Peta CPL'!$E$18)+N('Peta CPL'!$C$19)*N('Peta CPL'!$E$19)+N('Peta CPL'!$C$20)*N('Peta CPL'!$E$20)+N('Peta CPL'!$C$21)*N('Peta CPL'!$E$21)),""))</f>
        <v/>
      </c>
      <c r="V28" s="7">
        <f>IF(OR($B28="",'Peta CPL'!$A$7=""),"",IFERROR((N(L28)*N('Peta CPL'!$C$14)*N('Peta CPL'!$F$14)+N(M28)*N('Peta CPL'!$C$15)*N('Peta CPL'!$F$15)+N(N28)*N('Peta CPL'!$C$16)*N('Peta CPL'!$F$16)+N(O28)*N('Peta CPL'!$C$17)*N('Peta CPL'!$F$17)+N(P28)*N('Peta CPL'!$C$18)*N('Peta CPL'!$F$18)+N(Q28)*N('Peta CPL'!$C$19)*N('Peta CPL'!$F$19)+N(R28)*N('Peta CPL'!$C$20)*N('Peta CPL'!$F$20)+N(S28)*N('Peta CPL'!$C$21)*N('Peta CPL'!$F$21))/(N('Peta CPL'!$C$14)*N('Peta CPL'!$F$14)+N('Peta CPL'!$C$15)*N('Peta CPL'!$F$15)+N('Peta CPL'!$C$16)*N('Peta CPL'!$F$16)+N('Peta CPL'!$C$17)*N('Peta CPL'!$F$17)+N('Peta CPL'!$C$18)*N('Peta CPL'!$F$18)+N('Peta CPL'!$C$19)*N('Peta CPL'!$F$19)+N('Peta CPL'!$C$20)*N('Peta CPL'!$F$20)+N('Peta CPL'!$C$21)*N('Peta CPL'!$F$21)),""))</f>
        <v/>
      </c>
      <c r="W28" s="7">
        <f>IF(OR($B28="",'Peta CPL'!$A$8=""),"",IFERROR((N(L28)*N('Peta CPL'!$C$14)*N('Peta CPL'!$G$14)+N(M28)*N('Peta CPL'!$C$15)*N('Peta CPL'!$G$15)+N(N28)*N('Peta CPL'!$C$16)*N('Peta CPL'!$G$16)+N(O28)*N('Peta CPL'!$C$17)*N('Peta CPL'!$G$17)+N(P28)*N('Peta CPL'!$C$18)*N('Peta CPL'!$G$18)+N(Q28)*N('Peta CPL'!$C$19)*N('Peta CPL'!$G$19)+N(R28)*N('Peta CPL'!$C$20)*N('Peta CPL'!$G$20)+N(S28)*N('Peta CPL'!$C$21)*N('Peta CPL'!$G$21))/(N('Peta CPL'!$C$14)*N('Peta CPL'!$G$14)+N('Peta CPL'!$C$15)*N('Peta CPL'!$G$15)+N('Peta CPL'!$C$16)*N('Peta CPL'!$G$16)+N('Peta CPL'!$C$17)*N('Peta CPL'!$G$17)+N('Peta CPL'!$C$18)*N('Peta CPL'!$G$18)+N('Peta CPL'!$C$19)*N('Peta CPL'!$G$19)+N('Peta CPL'!$C$20)*N('Peta CPL'!$G$20)+N('Peta CPL'!$C$21)*N('Peta CPL'!$G$21)),""))</f>
        <v/>
      </c>
      <c r="X28" s="7">
        <f>IF(OR($B28="",'Peta CPL'!$A$9=""),"",IFERROR((N(L28)*N('Peta CPL'!$C$14)*N('Peta CPL'!$H$14)+N(M28)*N('Peta CPL'!$C$15)*N('Peta CPL'!$H$15)+N(N28)*N('Peta CPL'!$C$16)*N('Peta CPL'!$H$16)+N(O28)*N('Peta CPL'!$C$17)*N('Peta CPL'!$H$17)+N(P28)*N('Peta CPL'!$C$18)*N('Peta CPL'!$H$18)+N(Q28)*N('Peta CPL'!$C$19)*N('Peta CPL'!$H$19)+N(R28)*N('Peta CPL'!$C$20)*N('Peta CPL'!$H$20)+N(S28)*N('Peta CPL'!$C$21)*N('Peta CPL'!$H$21))/(N('Peta CPL'!$C$14)*N('Peta CPL'!$H$14)+N('Peta CPL'!$C$15)*N('Peta CPL'!$H$15)+N('Peta CPL'!$C$16)*N('Peta CPL'!$H$16)+N('Peta CPL'!$C$17)*N('Peta CPL'!$H$17)+N('Peta CPL'!$C$18)*N('Peta CPL'!$H$18)+N('Peta CPL'!$C$19)*N('Peta CPL'!$H$19)+N('Peta CPL'!$C$20)*N('Peta CPL'!$H$20)+N('Peta CPL'!$C$21)*N('Peta CPL'!$H$21)),""))</f>
        <v/>
      </c>
      <c r="Y28" s="7">
        <f>IF(OR($B28="",'Peta CPL'!$A$10=""),"",IFERROR((N(L28)*N('Peta CPL'!$C$14)*N('Peta CPL'!$I$14)+N(M28)*N('Peta CPL'!$C$15)*N('Peta CPL'!$I$15)+N(N28)*N('Peta CPL'!$C$16)*N('Peta CPL'!$I$16)+N(O28)*N('Peta CPL'!$C$17)*N('Peta CPL'!$I$17)+N(P28)*N('Peta CPL'!$C$18)*N('Peta CPL'!$I$18)+N(Q28)*N('Peta CPL'!$C$19)*N('Peta CPL'!$I$19)+N(R28)*N('Peta CPL'!$C$20)*N('Peta CPL'!$I$20)+N(S28)*N('Peta CPL'!$C$21)*N('Peta CPL'!$I$21))/(N('Peta CPL'!$C$14)*N('Peta CPL'!$I$14)+N('Peta CPL'!$C$15)*N('Peta CPL'!$I$15)+N('Peta CPL'!$C$16)*N('Peta CPL'!$I$16)+N('Peta CPL'!$C$17)*N('Peta CPL'!$I$17)+N('Peta CPL'!$C$18)*N('Peta CPL'!$I$18)+N('Peta CPL'!$C$19)*N('Peta CPL'!$I$19)+N('Peta CPL'!$C$20)*N('Peta CPL'!$I$20)+N('Peta CPL'!$C$21)*N('Peta CPL'!$I$21)),""))</f>
        <v/>
      </c>
      <c r="Z28" s="7">
        <f>IF($B28="","",IFERROR((N(L28)*N('Peta CPL'!$C$14)+N(M28)*N('Peta CPL'!$C$15)+N(N28)*N('Peta CPL'!$C$16)+N(O28)*N('Peta CPL'!$C$17)+N(P28)*N('Peta CPL'!$C$18)+N(Q28)*N('Peta CPL'!$C$19)+N(R28)*N('Peta CPL'!$C$20)+N(S28)*N('Peta CPL'!$C$21))/100,""))</f>
        <v/>
      </c>
    </row>
    <row r="29">
      <c r="A29" s="7">
        <f>'Input Nilai'!A29</f>
        <v/>
      </c>
      <c r="B29" s="7">
        <f>'Input Nilai'!B29</f>
        <v/>
      </c>
      <c r="C29" s="15">
        <f>'Input Nilai'!C29</f>
        <v/>
      </c>
      <c r="D29" s="7">
        <f>IF(OR('Input Nilai'!$B29="",'Bobot CPMK'!$O$4=0),"",(SUMPRODUCT('Input Nilai'!D29:L29,'Bobot CPMK'!$E$4:$M$4)+'Input Nilai'!$BX29*'Bobot CPMK'!$N$4)/'Bobot CPMK'!$O$4)</f>
        <v/>
      </c>
      <c r="E29" s="7">
        <f>IF(OR('Input Nilai'!$B29="",'Bobot CPMK'!$O$5=0),"",(SUMPRODUCT('Input Nilai'!M29:U29,'Bobot CPMK'!$E$5:$M$5)+'Input Nilai'!$BX29*'Bobot CPMK'!$N$5)/'Bobot CPMK'!$O$5)</f>
        <v/>
      </c>
      <c r="F29" s="7">
        <f>IF(OR('Input Nilai'!$B29="",'Bobot CPMK'!$O$6=0),"",(SUMPRODUCT('Input Nilai'!V29:AD29,'Bobot CPMK'!$E$6:$M$6)+'Input Nilai'!$BX29*'Bobot CPMK'!$N$6)/'Bobot CPMK'!$O$6)</f>
        <v/>
      </c>
      <c r="G29" s="7">
        <f>IF(OR('Input Nilai'!$B29="",'Bobot CPMK'!$O$7=0),"",(SUMPRODUCT('Input Nilai'!AE29:AM29,'Bobot CPMK'!$E$7:$M$7)+'Input Nilai'!$BX29*'Bobot CPMK'!$N$7)/'Bobot CPMK'!$O$7)</f>
        <v/>
      </c>
      <c r="H29" s="7">
        <f>IF(OR('Input Nilai'!$B29="",'Bobot CPMK'!$O$8=0),"",(SUMPRODUCT('Input Nilai'!AN29:AV29,'Bobot CPMK'!$E$8:$M$8)+'Input Nilai'!$BX29*'Bobot CPMK'!$N$8)/'Bobot CPMK'!$O$8)</f>
        <v/>
      </c>
      <c r="I29" s="7">
        <f>IF(OR('Input Nilai'!$B29="",'Bobot CPMK'!$O$9=0),"",(SUMPRODUCT('Input Nilai'!AW29:BE29,'Bobot CPMK'!$E$9:$M$9)+'Input Nilai'!$BX29*'Bobot CPMK'!$N$9)/'Bobot CPMK'!$O$9)</f>
        <v/>
      </c>
      <c r="J29" s="7">
        <f>IF(OR('Input Nilai'!$B29="",'Bobot CPMK'!$O$10=0),"",(SUMPRODUCT('Input Nilai'!BF29:BN29,'Bobot CPMK'!$E$10:$M$10)+'Input Nilai'!$BX29*'Bobot CPMK'!$N$10)/'Bobot CPMK'!$O$10)</f>
        <v/>
      </c>
      <c r="K29" s="7">
        <f>IF(OR('Input Nilai'!$B29="",'Bobot CPMK'!$O$11=0),"",(SUMPRODUCT('Input Nilai'!BO29:BW29,'Bobot CPMK'!$E$11:$M$11)+'Input Nilai'!$BX29*'Bobot CPMK'!$N$11)/'Bobot CPMK'!$O$11)</f>
        <v/>
      </c>
      <c r="L29" s="7">
        <f>IF(OR($B29="",'Peta CPL'!$A$14=""),"",IFERROR(SUM(IF('Bobot CPMK'!$B$4='Peta CPL'!$A$14,N(D29)*'Bobot CPMK'!$P$4,0),IF('Bobot CPMK'!$B$5='Peta CPL'!$A$14,N(E29)*'Bobot CPMK'!$P$5,0),IF('Bobot CPMK'!$B$6='Peta CPL'!$A$14,N(F29)*'Bobot CPMK'!$P$6,0),IF('Bobot CPMK'!$B$7='Peta CPL'!$A$14,N(G29)*'Bobot CPMK'!$P$7,0),IF('Bobot CPMK'!$B$8='Peta CPL'!$A$14,N(H29)*'Bobot CPMK'!$P$8,0),IF('Bobot CPMK'!$B$9='Peta CPL'!$A$14,N(I29)*'Bobot CPMK'!$P$9,0),IF('Bobot CPMK'!$B$10='Peta CPL'!$A$14,N(J29)*'Bobot CPMK'!$P$10,0),IF('Bobot CPMK'!$B$11='Peta CPL'!$A$14,N(K29)*'Bobot CPMK'!$P$11,0))/SUM(IF('Bobot CPMK'!$B$4='Peta CPL'!$A$14,'Bobot CPMK'!$P$4,0),IF('Bobot CPMK'!$B$5='Peta CPL'!$A$14,'Bobot CPMK'!$P$5,0),IF('Bobot CPMK'!$B$6='Peta CPL'!$A$14,'Bobot CPMK'!$P$6,0),IF('Bobot CPMK'!$B$7='Peta CPL'!$A$14,'Bobot CPMK'!$P$7,0),IF('Bobot CPMK'!$B$8='Peta CPL'!$A$14,'Bobot CPMK'!$P$8,0),IF('Bobot CPMK'!$B$9='Peta CPL'!$A$14,'Bobot CPMK'!$P$9,0),IF('Bobot CPMK'!$B$10='Peta CPL'!$A$14,'Bobot CPMK'!$P$10,0),IF('Bobot CPMK'!$B$11='Peta CPL'!$A$14,'Bobot CPMK'!$P$11,0)),""))</f>
        <v/>
      </c>
      <c r="M29" s="7">
        <f>IF(OR($B29="",'Peta CPL'!$A$15=""),"",IFERROR(SUM(IF('Bobot CPMK'!$B$4='Peta CPL'!$A$15,N(D29)*'Bobot CPMK'!$P$4,0),IF('Bobot CPMK'!$B$5='Peta CPL'!$A$15,N(E29)*'Bobot CPMK'!$P$5,0),IF('Bobot CPMK'!$B$6='Peta CPL'!$A$15,N(F29)*'Bobot CPMK'!$P$6,0),IF('Bobot CPMK'!$B$7='Peta CPL'!$A$15,N(G29)*'Bobot CPMK'!$P$7,0),IF('Bobot CPMK'!$B$8='Peta CPL'!$A$15,N(H29)*'Bobot CPMK'!$P$8,0),IF('Bobot CPMK'!$B$9='Peta CPL'!$A$15,N(I29)*'Bobot CPMK'!$P$9,0),IF('Bobot CPMK'!$B$10='Peta CPL'!$A$15,N(J29)*'Bobot CPMK'!$P$10,0),IF('Bobot CPMK'!$B$11='Peta CPL'!$A$15,N(K29)*'Bobot CPMK'!$P$11,0))/SUM(IF('Bobot CPMK'!$B$4='Peta CPL'!$A$15,'Bobot CPMK'!$P$4,0),IF('Bobot CPMK'!$B$5='Peta CPL'!$A$15,'Bobot CPMK'!$P$5,0),IF('Bobot CPMK'!$B$6='Peta CPL'!$A$15,'Bobot CPMK'!$P$6,0),IF('Bobot CPMK'!$B$7='Peta CPL'!$A$15,'Bobot CPMK'!$P$7,0),IF('Bobot CPMK'!$B$8='Peta CPL'!$A$15,'Bobot CPMK'!$P$8,0),IF('Bobot CPMK'!$B$9='Peta CPL'!$A$15,'Bobot CPMK'!$P$9,0),IF('Bobot CPMK'!$B$10='Peta CPL'!$A$15,'Bobot CPMK'!$P$10,0),IF('Bobot CPMK'!$B$11='Peta CPL'!$A$15,'Bobot CPMK'!$P$11,0)),""))</f>
        <v/>
      </c>
      <c r="N29" s="7">
        <f>IF(OR($B29="",'Peta CPL'!$A$16=""),"",IFERROR(SUM(IF('Bobot CPMK'!$B$4='Peta CPL'!$A$16,N(D29)*'Bobot CPMK'!$P$4,0),IF('Bobot CPMK'!$B$5='Peta CPL'!$A$16,N(E29)*'Bobot CPMK'!$P$5,0),IF('Bobot CPMK'!$B$6='Peta CPL'!$A$16,N(F29)*'Bobot CPMK'!$P$6,0),IF('Bobot CPMK'!$B$7='Peta CPL'!$A$16,N(G29)*'Bobot CPMK'!$P$7,0),IF('Bobot CPMK'!$B$8='Peta CPL'!$A$16,N(H29)*'Bobot CPMK'!$P$8,0),IF('Bobot CPMK'!$B$9='Peta CPL'!$A$16,N(I29)*'Bobot CPMK'!$P$9,0),IF('Bobot CPMK'!$B$10='Peta CPL'!$A$16,N(J29)*'Bobot CPMK'!$P$10,0),IF('Bobot CPMK'!$B$11='Peta CPL'!$A$16,N(K29)*'Bobot CPMK'!$P$11,0))/SUM(IF('Bobot CPMK'!$B$4='Peta CPL'!$A$16,'Bobot CPMK'!$P$4,0),IF('Bobot CPMK'!$B$5='Peta CPL'!$A$16,'Bobot CPMK'!$P$5,0),IF('Bobot CPMK'!$B$6='Peta CPL'!$A$16,'Bobot CPMK'!$P$6,0),IF('Bobot CPMK'!$B$7='Peta CPL'!$A$16,'Bobot CPMK'!$P$7,0),IF('Bobot CPMK'!$B$8='Peta CPL'!$A$16,'Bobot CPMK'!$P$8,0),IF('Bobot CPMK'!$B$9='Peta CPL'!$A$16,'Bobot CPMK'!$P$9,0),IF('Bobot CPMK'!$B$10='Peta CPL'!$A$16,'Bobot CPMK'!$P$10,0),IF('Bobot CPMK'!$B$11='Peta CPL'!$A$16,'Bobot CPMK'!$P$11,0)),""))</f>
        <v/>
      </c>
      <c r="O29" s="7">
        <f>IF(OR($B29="",'Peta CPL'!$A$17=""),"",IFERROR(SUM(IF('Bobot CPMK'!$B$4='Peta CPL'!$A$17,N(D29)*'Bobot CPMK'!$P$4,0),IF('Bobot CPMK'!$B$5='Peta CPL'!$A$17,N(E29)*'Bobot CPMK'!$P$5,0),IF('Bobot CPMK'!$B$6='Peta CPL'!$A$17,N(F29)*'Bobot CPMK'!$P$6,0),IF('Bobot CPMK'!$B$7='Peta CPL'!$A$17,N(G29)*'Bobot CPMK'!$P$7,0),IF('Bobot CPMK'!$B$8='Peta CPL'!$A$17,N(H29)*'Bobot CPMK'!$P$8,0),IF('Bobot CPMK'!$B$9='Peta CPL'!$A$17,N(I29)*'Bobot CPMK'!$P$9,0),IF('Bobot CPMK'!$B$10='Peta CPL'!$A$17,N(J29)*'Bobot CPMK'!$P$10,0),IF('Bobot CPMK'!$B$11='Peta CPL'!$A$17,N(K29)*'Bobot CPMK'!$P$11,0))/SUM(IF('Bobot CPMK'!$B$4='Peta CPL'!$A$17,'Bobot CPMK'!$P$4,0),IF('Bobot CPMK'!$B$5='Peta CPL'!$A$17,'Bobot CPMK'!$P$5,0),IF('Bobot CPMK'!$B$6='Peta CPL'!$A$17,'Bobot CPMK'!$P$6,0),IF('Bobot CPMK'!$B$7='Peta CPL'!$A$17,'Bobot CPMK'!$P$7,0),IF('Bobot CPMK'!$B$8='Peta CPL'!$A$17,'Bobot CPMK'!$P$8,0),IF('Bobot CPMK'!$B$9='Peta CPL'!$A$17,'Bobot CPMK'!$P$9,0),IF('Bobot CPMK'!$B$10='Peta CPL'!$A$17,'Bobot CPMK'!$P$10,0),IF('Bobot CPMK'!$B$11='Peta CPL'!$A$17,'Bobot CPMK'!$P$11,0)),""))</f>
        <v/>
      </c>
      <c r="P29" s="7">
        <f>IF(OR($B29="",'Peta CPL'!$A$18=""),"",IFERROR(SUM(IF('Bobot CPMK'!$B$4='Peta CPL'!$A$18,N(D29)*'Bobot CPMK'!$P$4,0),IF('Bobot CPMK'!$B$5='Peta CPL'!$A$18,N(E29)*'Bobot CPMK'!$P$5,0),IF('Bobot CPMK'!$B$6='Peta CPL'!$A$18,N(F29)*'Bobot CPMK'!$P$6,0),IF('Bobot CPMK'!$B$7='Peta CPL'!$A$18,N(G29)*'Bobot CPMK'!$P$7,0),IF('Bobot CPMK'!$B$8='Peta CPL'!$A$18,N(H29)*'Bobot CPMK'!$P$8,0),IF('Bobot CPMK'!$B$9='Peta CPL'!$A$18,N(I29)*'Bobot CPMK'!$P$9,0),IF('Bobot CPMK'!$B$10='Peta CPL'!$A$18,N(J29)*'Bobot CPMK'!$P$10,0),IF('Bobot CPMK'!$B$11='Peta CPL'!$A$18,N(K29)*'Bobot CPMK'!$P$11,0))/SUM(IF('Bobot CPMK'!$B$4='Peta CPL'!$A$18,'Bobot CPMK'!$P$4,0),IF('Bobot CPMK'!$B$5='Peta CPL'!$A$18,'Bobot CPMK'!$P$5,0),IF('Bobot CPMK'!$B$6='Peta CPL'!$A$18,'Bobot CPMK'!$P$6,0),IF('Bobot CPMK'!$B$7='Peta CPL'!$A$18,'Bobot CPMK'!$P$7,0),IF('Bobot CPMK'!$B$8='Peta CPL'!$A$18,'Bobot CPMK'!$P$8,0),IF('Bobot CPMK'!$B$9='Peta CPL'!$A$18,'Bobot CPMK'!$P$9,0),IF('Bobot CPMK'!$B$10='Peta CPL'!$A$18,'Bobot CPMK'!$P$10,0),IF('Bobot CPMK'!$B$11='Peta CPL'!$A$18,'Bobot CPMK'!$P$11,0)),""))</f>
        <v/>
      </c>
      <c r="Q29" s="7">
        <f>IF(OR($B29="",'Peta CPL'!$A$19=""),"",IFERROR(SUM(IF('Bobot CPMK'!$B$4='Peta CPL'!$A$19,N(D29)*'Bobot CPMK'!$P$4,0),IF('Bobot CPMK'!$B$5='Peta CPL'!$A$19,N(E29)*'Bobot CPMK'!$P$5,0),IF('Bobot CPMK'!$B$6='Peta CPL'!$A$19,N(F29)*'Bobot CPMK'!$P$6,0),IF('Bobot CPMK'!$B$7='Peta CPL'!$A$19,N(G29)*'Bobot CPMK'!$P$7,0),IF('Bobot CPMK'!$B$8='Peta CPL'!$A$19,N(H29)*'Bobot CPMK'!$P$8,0),IF('Bobot CPMK'!$B$9='Peta CPL'!$A$19,N(I29)*'Bobot CPMK'!$P$9,0),IF('Bobot CPMK'!$B$10='Peta CPL'!$A$19,N(J29)*'Bobot CPMK'!$P$10,0),IF('Bobot CPMK'!$B$11='Peta CPL'!$A$19,N(K29)*'Bobot CPMK'!$P$11,0))/SUM(IF('Bobot CPMK'!$B$4='Peta CPL'!$A$19,'Bobot CPMK'!$P$4,0),IF('Bobot CPMK'!$B$5='Peta CPL'!$A$19,'Bobot CPMK'!$P$5,0),IF('Bobot CPMK'!$B$6='Peta CPL'!$A$19,'Bobot CPMK'!$P$6,0),IF('Bobot CPMK'!$B$7='Peta CPL'!$A$19,'Bobot CPMK'!$P$7,0),IF('Bobot CPMK'!$B$8='Peta CPL'!$A$19,'Bobot CPMK'!$P$8,0),IF('Bobot CPMK'!$B$9='Peta CPL'!$A$19,'Bobot CPMK'!$P$9,0),IF('Bobot CPMK'!$B$10='Peta CPL'!$A$19,'Bobot CPMK'!$P$10,0),IF('Bobot CPMK'!$B$11='Peta CPL'!$A$19,'Bobot CPMK'!$P$11,0)),""))</f>
        <v/>
      </c>
      <c r="R29" s="7">
        <f>IF(OR($B29="",'Peta CPL'!$A$20=""),"",IFERROR(SUM(IF('Bobot CPMK'!$B$4='Peta CPL'!$A$20,N(D29)*'Bobot CPMK'!$P$4,0),IF('Bobot CPMK'!$B$5='Peta CPL'!$A$20,N(E29)*'Bobot CPMK'!$P$5,0),IF('Bobot CPMK'!$B$6='Peta CPL'!$A$20,N(F29)*'Bobot CPMK'!$P$6,0),IF('Bobot CPMK'!$B$7='Peta CPL'!$A$20,N(G29)*'Bobot CPMK'!$P$7,0),IF('Bobot CPMK'!$B$8='Peta CPL'!$A$20,N(H29)*'Bobot CPMK'!$P$8,0),IF('Bobot CPMK'!$B$9='Peta CPL'!$A$20,N(I29)*'Bobot CPMK'!$P$9,0),IF('Bobot CPMK'!$B$10='Peta CPL'!$A$20,N(J29)*'Bobot CPMK'!$P$10,0),IF('Bobot CPMK'!$B$11='Peta CPL'!$A$20,N(K29)*'Bobot CPMK'!$P$11,0))/SUM(IF('Bobot CPMK'!$B$4='Peta CPL'!$A$20,'Bobot CPMK'!$P$4,0),IF('Bobot CPMK'!$B$5='Peta CPL'!$A$20,'Bobot CPMK'!$P$5,0),IF('Bobot CPMK'!$B$6='Peta CPL'!$A$20,'Bobot CPMK'!$P$6,0),IF('Bobot CPMK'!$B$7='Peta CPL'!$A$20,'Bobot CPMK'!$P$7,0),IF('Bobot CPMK'!$B$8='Peta CPL'!$A$20,'Bobot CPMK'!$P$8,0),IF('Bobot CPMK'!$B$9='Peta CPL'!$A$20,'Bobot CPMK'!$P$9,0),IF('Bobot CPMK'!$B$10='Peta CPL'!$A$20,'Bobot CPMK'!$P$10,0),IF('Bobot CPMK'!$B$11='Peta CPL'!$A$20,'Bobot CPMK'!$P$11,0)),""))</f>
        <v/>
      </c>
      <c r="S29" s="7">
        <f>IF(OR($B29="",'Peta CPL'!$A$21=""),"",IFERROR(SUM(IF('Bobot CPMK'!$B$4='Peta CPL'!$A$21,N(D29)*'Bobot CPMK'!$P$4,0),IF('Bobot CPMK'!$B$5='Peta CPL'!$A$21,N(E29)*'Bobot CPMK'!$P$5,0),IF('Bobot CPMK'!$B$6='Peta CPL'!$A$21,N(F29)*'Bobot CPMK'!$P$6,0),IF('Bobot CPMK'!$B$7='Peta CPL'!$A$21,N(G29)*'Bobot CPMK'!$P$7,0),IF('Bobot CPMK'!$B$8='Peta CPL'!$A$21,N(H29)*'Bobot CPMK'!$P$8,0),IF('Bobot CPMK'!$B$9='Peta CPL'!$A$21,N(I29)*'Bobot CPMK'!$P$9,0),IF('Bobot CPMK'!$B$10='Peta CPL'!$A$21,N(J29)*'Bobot CPMK'!$P$10,0),IF('Bobot CPMK'!$B$11='Peta CPL'!$A$21,N(K29)*'Bobot CPMK'!$P$11,0))/SUM(IF('Bobot CPMK'!$B$4='Peta CPL'!$A$21,'Bobot CPMK'!$P$4,0),IF('Bobot CPMK'!$B$5='Peta CPL'!$A$21,'Bobot CPMK'!$P$5,0),IF('Bobot CPMK'!$B$6='Peta CPL'!$A$21,'Bobot CPMK'!$P$6,0),IF('Bobot CPMK'!$B$7='Peta CPL'!$A$21,'Bobot CPMK'!$P$7,0),IF('Bobot CPMK'!$B$8='Peta CPL'!$A$21,'Bobot CPMK'!$P$8,0),IF('Bobot CPMK'!$B$9='Peta CPL'!$A$21,'Bobot CPMK'!$P$9,0),IF('Bobot CPMK'!$B$10='Peta CPL'!$A$21,'Bobot CPMK'!$P$10,0),IF('Bobot CPMK'!$B$11='Peta CPL'!$A$21,'Bobot CPMK'!$P$11,0)),""))</f>
        <v/>
      </c>
      <c r="T29" s="7">
        <f>IF(OR($B29="",'Peta CPL'!$A$5=""),"",IFERROR((N(L29)*N('Peta CPL'!$C$14)*N('Peta CPL'!$D$14)+N(M29)*N('Peta CPL'!$C$15)*N('Peta CPL'!$D$15)+N(N29)*N('Peta CPL'!$C$16)*N('Peta CPL'!$D$16)+N(O29)*N('Peta CPL'!$C$17)*N('Peta CPL'!$D$17)+N(P29)*N('Peta CPL'!$C$18)*N('Peta CPL'!$D$18)+N(Q29)*N('Peta CPL'!$C$19)*N('Peta CPL'!$D$19)+N(R29)*N('Peta CPL'!$C$20)*N('Peta CPL'!$D$20)+N(S29)*N('Peta CPL'!$C$21)*N('Peta CPL'!$D$21))/(N('Peta CPL'!$C$14)*N('Peta CPL'!$D$14)+N('Peta CPL'!$C$15)*N('Peta CPL'!$D$15)+N('Peta CPL'!$C$16)*N('Peta CPL'!$D$16)+N('Peta CPL'!$C$17)*N('Peta CPL'!$D$17)+N('Peta CPL'!$C$18)*N('Peta CPL'!$D$18)+N('Peta CPL'!$C$19)*N('Peta CPL'!$D$19)+N('Peta CPL'!$C$20)*N('Peta CPL'!$D$20)+N('Peta CPL'!$C$21)*N('Peta CPL'!$D$21)),""))</f>
        <v/>
      </c>
      <c r="U29" s="7">
        <f>IF(OR($B29="",'Peta CPL'!$A$6=""),"",IFERROR((N(L29)*N('Peta CPL'!$C$14)*N('Peta CPL'!$E$14)+N(M29)*N('Peta CPL'!$C$15)*N('Peta CPL'!$E$15)+N(N29)*N('Peta CPL'!$C$16)*N('Peta CPL'!$E$16)+N(O29)*N('Peta CPL'!$C$17)*N('Peta CPL'!$E$17)+N(P29)*N('Peta CPL'!$C$18)*N('Peta CPL'!$E$18)+N(Q29)*N('Peta CPL'!$C$19)*N('Peta CPL'!$E$19)+N(R29)*N('Peta CPL'!$C$20)*N('Peta CPL'!$E$20)+N(S29)*N('Peta CPL'!$C$21)*N('Peta CPL'!$E$21))/(N('Peta CPL'!$C$14)*N('Peta CPL'!$E$14)+N('Peta CPL'!$C$15)*N('Peta CPL'!$E$15)+N('Peta CPL'!$C$16)*N('Peta CPL'!$E$16)+N('Peta CPL'!$C$17)*N('Peta CPL'!$E$17)+N('Peta CPL'!$C$18)*N('Peta CPL'!$E$18)+N('Peta CPL'!$C$19)*N('Peta CPL'!$E$19)+N('Peta CPL'!$C$20)*N('Peta CPL'!$E$20)+N('Peta CPL'!$C$21)*N('Peta CPL'!$E$21)),""))</f>
        <v/>
      </c>
      <c r="V29" s="7">
        <f>IF(OR($B29="",'Peta CPL'!$A$7=""),"",IFERROR((N(L29)*N('Peta CPL'!$C$14)*N('Peta CPL'!$F$14)+N(M29)*N('Peta CPL'!$C$15)*N('Peta CPL'!$F$15)+N(N29)*N('Peta CPL'!$C$16)*N('Peta CPL'!$F$16)+N(O29)*N('Peta CPL'!$C$17)*N('Peta CPL'!$F$17)+N(P29)*N('Peta CPL'!$C$18)*N('Peta CPL'!$F$18)+N(Q29)*N('Peta CPL'!$C$19)*N('Peta CPL'!$F$19)+N(R29)*N('Peta CPL'!$C$20)*N('Peta CPL'!$F$20)+N(S29)*N('Peta CPL'!$C$21)*N('Peta CPL'!$F$21))/(N('Peta CPL'!$C$14)*N('Peta CPL'!$F$14)+N('Peta CPL'!$C$15)*N('Peta CPL'!$F$15)+N('Peta CPL'!$C$16)*N('Peta CPL'!$F$16)+N('Peta CPL'!$C$17)*N('Peta CPL'!$F$17)+N('Peta CPL'!$C$18)*N('Peta CPL'!$F$18)+N('Peta CPL'!$C$19)*N('Peta CPL'!$F$19)+N('Peta CPL'!$C$20)*N('Peta CPL'!$F$20)+N('Peta CPL'!$C$21)*N('Peta CPL'!$F$21)),""))</f>
        <v/>
      </c>
      <c r="W29" s="7">
        <f>IF(OR($B29="",'Peta CPL'!$A$8=""),"",IFERROR((N(L29)*N('Peta CPL'!$C$14)*N('Peta CPL'!$G$14)+N(M29)*N('Peta CPL'!$C$15)*N('Peta CPL'!$G$15)+N(N29)*N('Peta CPL'!$C$16)*N('Peta CPL'!$G$16)+N(O29)*N('Peta CPL'!$C$17)*N('Peta CPL'!$G$17)+N(P29)*N('Peta CPL'!$C$18)*N('Peta CPL'!$G$18)+N(Q29)*N('Peta CPL'!$C$19)*N('Peta CPL'!$G$19)+N(R29)*N('Peta CPL'!$C$20)*N('Peta CPL'!$G$20)+N(S29)*N('Peta CPL'!$C$21)*N('Peta CPL'!$G$21))/(N('Peta CPL'!$C$14)*N('Peta CPL'!$G$14)+N('Peta CPL'!$C$15)*N('Peta CPL'!$G$15)+N('Peta CPL'!$C$16)*N('Peta CPL'!$G$16)+N('Peta CPL'!$C$17)*N('Peta CPL'!$G$17)+N('Peta CPL'!$C$18)*N('Peta CPL'!$G$18)+N('Peta CPL'!$C$19)*N('Peta CPL'!$G$19)+N('Peta CPL'!$C$20)*N('Peta CPL'!$G$20)+N('Peta CPL'!$C$21)*N('Peta CPL'!$G$21)),""))</f>
        <v/>
      </c>
      <c r="X29" s="7">
        <f>IF(OR($B29="",'Peta CPL'!$A$9=""),"",IFERROR((N(L29)*N('Peta CPL'!$C$14)*N('Peta CPL'!$H$14)+N(M29)*N('Peta CPL'!$C$15)*N('Peta CPL'!$H$15)+N(N29)*N('Peta CPL'!$C$16)*N('Peta CPL'!$H$16)+N(O29)*N('Peta CPL'!$C$17)*N('Peta CPL'!$H$17)+N(P29)*N('Peta CPL'!$C$18)*N('Peta CPL'!$H$18)+N(Q29)*N('Peta CPL'!$C$19)*N('Peta CPL'!$H$19)+N(R29)*N('Peta CPL'!$C$20)*N('Peta CPL'!$H$20)+N(S29)*N('Peta CPL'!$C$21)*N('Peta CPL'!$H$21))/(N('Peta CPL'!$C$14)*N('Peta CPL'!$H$14)+N('Peta CPL'!$C$15)*N('Peta CPL'!$H$15)+N('Peta CPL'!$C$16)*N('Peta CPL'!$H$16)+N('Peta CPL'!$C$17)*N('Peta CPL'!$H$17)+N('Peta CPL'!$C$18)*N('Peta CPL'!$H$18)+N('Peta CPL'!$C$19)*N('Peta CPL'!$H$19)+N('Peta CPL'!$C$20)*N('Peta CPL'!$H$20)+N('Peta CPL'!$C$21)*N('Peta CPL'!$H$21)),""))</f>
        <v/>
      </c>
      <c r="Y29" s="7">
        <f>IF(OR($B29="",'Peta CPL'!$A$10=""),"",IFERROR((N(L29)*N('Peta CPL'!$C$14)*N('Peta CPL'!$I$14)+N(M29)*N('Peta CPL'!$C$15)*N('Peta CPL'!$I$15)+N(N29)*N('Peta CPL'!$C$16)*N('Peta CPL'!$I$16)+N(O29)*N('Peta CPL'!$C$17)*N('Peta CPL'!$I$17)+N(P29)*N('Peta CPL'!$C$18)*N('Peta CPL'!$I$18)+N(Q29)*N('Peta CPL'!$C$19)*N('Peta CPL'!$I$19)+N(R29)*N('Peta CPL'!$C$20)*N('Peta CPL'!$I$20)+N(S29)*N('Peta CPL'!$C$21)*N('Peta CPL'!$I$21))/(N('Peta CPL'!$C$14)*N('Peta CPL'!$I$14)+N('Peta CPL'!$C$15)*N('Peta CPL'!$I$15)+N('Peta CPL'!$C$16)*N('Peta CPL'!$I$16)+N('Peta CPL'!$C$17)*N('Peta CPL'!$I$17)+N('Peta CPL'!$C$18)*N('Peta CPL'!$I$18)+N('Peta CPL'!$C$19)*N('Peta CPL'!$I$19)+N('Peta CPL'!$C$20)*N('Peta CPL'!$I$20)+N('Peta CPL'!$C$21)*N('Peta CPL'!$I$21)),""))</f>
        <v/>
      </c>
      <c r="Z29" s="7">
        <f>IF($B29="","",IFERROR((N(L29)*N('Peta CPL'!$C$14)+N(M29)*N('Peta CPL'!$C$15)+N(N29)*N('Peta CPL'!$C$16)+N(O29)*N('Peta CPL'!$C$17)+N(P29)*N('Peta CPL'!$C$18)+N(Q29)*N('Peta CPL'!$C$19)+N(R29)*N('Peta CPL'!$C$20)+N(S29)*N('Peta CPL'!$C$21))/100,""))</f>
        <v/>
      </c>
    </row>
    <row r="30">
      <c r="A30" s="7">
        <f>'Input Nilai'!A30</f>
        <v/>
      </c>
      <c r="B30" s="7">
        <f>'Input Nilai'!B30</f>
        <v/>
      </c>
      <c r="C30" s="15">
        <f>'Input Nilai'!C30</f>
        <v/>
      </c>
      <c r="D30" s="7">
        <f>IF(OR('Input Nilai'!$B30="",'Bobot CPMK'!$O$4=0),"",(SUMPRODUCT('Input Nilai'!D30:L30,'Bobot CPMK'!$E$4:$M$4)+'Input Nilai'!$BX30*'Bobot CPMK'!$N$4)/'Bobot CPMK'!$O$4)</f>
        <v/>
      </c>
      <c r="E30" s="7">
        <f>IF(OR('Input Nilai'!$B30="",'Bobot CPMK'!$O$5=0),"",(SUMPRODUCT('Input Nilai'!M30:U30,'Bobot CPMK'!$E$5:$M$5)+'Input Nilai'!$BX30*'Bobot CPMK'!$N$5)/'Bobot CPMK'!$O$5)</f>
        <v/>
      </c>
      <c r="F30" s="7">
        <f>IF(OR('Input Nilai'!$B30="",'Bobot CPMK'!$O$6=0),"",(SUMPRODUCT('Input Nilai'!V30:AD30,'Bobot CPMK'!$E$6:$M$6)+'Input Nilai'!$BX30*'Bobot CPMK'!$N$6)/'Bobot CPMK'!$O$6)</f>
        <v/>
      </c>
      <c r="G30" s="7">
        <f>IF(OR('Input Nilai'!$B30="",'Bobot CPMK'!$O$7=0),"",(SUMPRODUCT('Input Nilai'!AE30:AM30,'Bobot CPMK'!$E$7:$M$7)+'Input Nilai'!$BX30*'Bobot CPMK'!$N$7)/'Bobot CPMK'!$O$7)</f>
        <v/>
      </c>
      <c r="H30" s="7">
        <f>IF(OR('Input Nilai'!$B30="",'Bobot CPMK'!$O$8=0),"",(SUMPRODUCT('Input Nilai'!AN30:AV30,'Bobot CPMK'!$E$8:$M$8)+'Input Nilai'!$BX30*'Bobot CPMK'!$N$8)/'Bobot CPMK'!$O$8)</f>
        <v/>
      </c>
      <c r="I30" s="7">
        <f>IF(OR('Input Nilai'!$B30="",'Bobot CPMK'!$O$9=0),"",(SUMPRODUCT('Input Nilai'!AW30:BE30,'Bobot CPMK'!$E$9:$M$9)+'Input Nilai'!$BX30*'Bobot CPMK'!$N$9)/'Bobot CPMK'!$O$9)</f>
        <v/>
      </c>
      <c r="J30" s="7">
        <f>IF(OR('Input Nilai'!$B30="",'Bobot CPMK'!$O$10=0),"",(SUMPRODUCT('Input Nilai'!BF30:BN30,'Bobot CPMK'!$E$10:$M$10)+'Input Nilai'!$BX30*'Bobot CPMK'!$N$10)/'Bobot CPMK'!$O$10)</f>
        <v/>
      </c>
      <c r="K30" s="7">
        <f>IF(OR('Input Nilai'!$B30="",'Bobot CPMK'!$O$11=0),"",(SUMPRODUCT('Input Nilai'!BO30:BW30,'Bobot CPMK'!$E$11:$M$11)+'Input Nilai'!$BX30*'Bobot CPMK'!$N$11)/'Bobot CPMK'!$O$11)</f>
        <v/>
      </c>
      <c r="L30" s="7">
        <f>IF(OR($B30="",'Peta CPL'!$A$14=""),"",IFERROR(SUM(IF('Bobot CPMK'!$B$4='Peta CPL'!$A$14,N(D30)*'Bobot CPMK'!$P$4,0),IF('Bobot CPMK'!$B$5='Peta CPL'!$A$14,N(E30)*'Bobot CPMK'!$P$5,0),IF('Bobot CPMK'!$B$6='Peta CPL'!$A$14,N(F30)*'Bobot CPMK'!$P$6,0),IF('Bobot CPMK'!$B$7='Peta CPL'!$A$14,N(G30)*'Bobot CPMK'!$P$7,0),IF('Bobot CPMK'!$B$8='Peta CPL'!$A$14,N(H30)*'Bobot CPMK'!$P$8,0),IF('Bobot CPMK'!$B$9='Peta CPL'!$A$14,N(I30)*'Bobot CPMK'!$P$9,0),IF('Bobot CPMK'!$B$10='Peta CPL'!$A$14,N(J30)*'Bobot CPMK'!$P$10,0),IF('Bobot CPMK'!$B$11='Peta CPL'!$A$14,N(K30)*'Bobot CPMK'!$P$11,0))/SUM(IF('Bobot CPMK'!$B$4='Peta CPL'!$A$14,'Bobot CPMK'!$P$4,0),IF('Bobot CPMK'!$B$5='Peta CPL'!$A$14,'Bobot CPMK'!$P$5,0),IF('Bobot CPMK'!$B$6='Peta CPL'!$A$14,'Bobot CPMK'!$P$6,0),IF('Bobot CPMK'!$B$7='Peta CPL'!$A$14,'Bobot CPMK'!$P$7,0),IF('Bobot CPMK'!$B$8='Peta CPL'!$A$14,'Bobot CPMK'!$P$8,0),IF('Bobot CPMK'!$B$9='Peta CPL'!$A$14,'Bobot CPMK'!$P$9,0),IF('Bobot CPMK'!$B$10='Peta CPL'!$A$14,'Bobot CPMK'!$P$10,0),IF('Bobot CPMK'!$B$11='Peta CPL'!$A$14,'Bobot CPMK'!$P$11,0)),""))</f>
        <v/>
      </c>
      <c r="M30" s="7">
        <f>IF(OR($B30="",'Peta CPL'!$A$15=""),"",IFERROR(SUM(IF('Bobot CPMK'!$B$4='Peta CPL'!$A$15,N(D30)*'Bobot CPMK'!$P$4,0),IF('Bobot CPMK'!$B$5='Peta CPL'!$A$15,N(E30)*'Bobot CPMK'!$P$5,0),IF('Bobot CPMK'!$B$6='Peta CPL'!$A$15,N(F30)*'Bobot CPMK'!$P$6,0),IF('Bobot CPMK'!$B$7='Peta CPL'!$A$15,N(G30)*'Bobot CPMK'!$P$7,0),IF('Bobot CPMK'!$B$8='Peta CPL'!$A$15,N(H30)*'Bobot CPMK'!$P$8,0),IF('Bobot CPMK'!$B$9='Peta CPL'!$A$15,N(I30)*'Bobot CPMK'!$P$9,0),IF('Bobot CPMK'!$B$10='Peta CPL'!$A$15,N(J30)*'Bobot CPMK'!$P$10,0),IF('Bobot CPMK'!$B$11='Peta CPL'!$A$15,N(K30)*'Bobot CPMK'!$P$11,0))/SUM(IF('Bobot CPMK'!$B$4='Peta CPL'!$A$15,'Bobot CPMK'!$P$4,0),IF('Bobot CPMK'!$B$5='Peta CPL'!$A$15,'Bobot CPMK'!$P$5,0),IF('Bobot CPMK'!$B$6='Peta CPL'!$A$15,'Bobot CPMK'!$P$6,0),IF('Bobot CPMK'!$B$7='Peta CPL'!$A$15,'Bobot CPMK'!$P$7,0),IF('Bobot CPMK'!$B$8='Peta CPL'!$A$15,'Bobot CPMK'!$P$8,0),IF('Bobot CPMK'!$B$9='Peta CPL'!$A$15,'Bobot CPMK'!$P$9,0),IF('Bobot CPMK'!$B$10='Peta CPL'!$A$15,'Bobot CPMK'!$P$10,0),IF('Bobot CPMK'!$B$11='Peta CPL'!$A$15,'Bobot CPMK'!$P$11,0)),""))</f>
        <v/>
      </c>
      <c r="N30" s="7">
        <f>IF(OR($B30="",'Peta CPL'!$A$16=""),"",IFERROR(SUM(IF('Bobot CPMK'!$B$4='Peta CPL'!$A$16,N(D30)*'Bobot CPMK'!$P$4,0),IF('Bobot CPMK'!$B$5='Peta CPL'!$A$16,N(E30)*'Bobot CPMK'!$P$5,0),IF('Bobot CPMK'!$B$6='Peta CPL'!$A$16,N(F30)*'Bobot CPMK'!$P$6,0),IF('Bobot CPMK'!$B$7='Peta CPL'!$A$16,N(G30)*'Bobot CPMK'!$P$7,0),IF('Bobot CPMK'!$B$8='Peta CPL'!$A$16,N(H30)*'Bobot CPMK'!$P$8,0),IF('Bobot CPMK'!$B$9='Peta CPL'!$A$16,N(I30)*'Bobot CPMK'!$P$9,0),IF('Bobot CPMK'!$B$10='Peta CPL'!$A$16,N(J30)*'Bobot CPMK'!$P$10,0),IF('Bobot CPMK'!$B$11='Peta CPL'!$A$16,N(K30)*'Bobot CPMK'!$P$11,0))/SUM(IF('Bobot CPMK'!$B$4='Peta CPL'!$A$16,'Bobot CPMK'!$P$4,0),IF('Bobot CPMK'!$B$5='Peta CPL'!$A$16,'Bobot CPMK'!$P$5,0),IF('Bobot CPMK'!$B$6='Peta CPL'!$A$16,'Bobot CPMK'!$P$6,0),IF('Bobot CPMK'!$B$7='Peta CPL'!$A$16,'Bobot CPMK'!$P$7,0),IF('Bobot CPMK'!$B$8='Peta CPL'!$A$16,'Bobot CPMK'!$P$8,0),IF('Bobot CPMK'!$B$9='Peta CPL'!$A$16,'Bobot CPMK'!$P$9,0),IF('Bobot CPMK'!$B$10='Peta CPL'!$A$16,'Bobot CPMK'!$P$10,0),IF('Bobot CPMK'!$B$11='Peta CPL'!$A$16,'Bobot CPMK'!$P$11,0)),""))</f>
        <v/>
      </c>
      <c r="O30" s="7">
        <f>IF(OR($B30="",'Peta CPL'!$A$17=""),"",IFERROR(SUM(IF('Bobot CPMK'!$B$4='Peta CPL'!$A$17,N(D30)*'Bobot CPMK'!$P$4,0),IF('Bobot CPMK'!$B$5='Peta CPL'!$A$17,N(E30)*'Bobot CPMK'!$P$5,0),IF('Bobot CPMK'!$B$6='Peta CPL'!$A$17,N(F30)*'Bobot CPMK'!$P$6,0),IF('Bobot CPMK'!$B$7='Peta CPL'!$A$17,N(G30)*'Bobot CPMK'!$P$7,0),IF('Bobot CPMK'!$B$8='Peta CPL'!$A$17,N(H30)*'Bobot CPMK'!$P$8,0),IF('Bobot CPMK'!$B$9='Peta CPL'!$A$17,N(I30)*'Bobot CPMK'!$P$9,0),IF('Bobot CPMK'!$B$10='Peta CPL'!$A$17,N(J30)*'Bobot CPMK'!$P$10,0),IF('Bobot CPMK'!$B$11='Peta CPL'!$A$17,N(K30)*'Bobot CPMK'!$P$11,0))/SUM(IF('Bobot CPMK'!$B$4='Peta CPL'!$A$17,'Bobot CPMK'!$P$4,0),IF('Bobot CPMK'!$B$5='Peta CPL'!$A$17,'Bobot CPMK'!$P$5,0),IF('Bobot CPMK'!$B$6='Peta CPL'!$A$17,'Bobot CPMK'!$P$6,0),IF('Bobot CPMK'!$B$7='Peta CPL'!$A$17,'Bobot CPMK'!$P$7,0),IF('Bobot CPMK'!$B$8='Peta CPL'!$A$17,'Bobot CPMK'!$P$8,0),IF('Bobot CPMK'!$B$9='Peta CPL'!$A$17,'Bobot CPMK'!$P$9,0),IF('Bobot CPMK'!$B$10='Peta CPL'!$A$17,'Bobot CPMK'!$P$10,0),IF('Bobot CPMK'!$B$11='Peta CPL'!$A$17,'Bobot CPMK'!$P$11,0)),""))</f>
        <v/>
      </c>
      <c r="P30" s="7">
        <f>IF(OR($B30="",'Peta CPL'!$A$18=""),"",IFERROR(SUM(IF('Bobot CPMK'!$B$4='Peta CPL'!$A$18,N(D30)*'Bobot CPMK'!$P$4,0),IF('Bobot CPMK'!$B$5='Peta CPL'!$A$18,N(E30)*'Bobot CPMK'!$P$5,0),IF('Bobot CPMK'!$B$6='Peta CPL'!$A$18,N(F30)*'Bobot CPMK'!$P$6,0),IF('Bobot CPMK'!$B$7='Peta CPL'!$A$18,N(G30)*'Bobot CPMK'!$P$7,0),IF('Bobot CPMK'!$B$8='Peta CPL'!$A$18,N(H30)*'Bobot CPMK'!$P$8,0),IF('Bobot CPMK'!$B$9='Peta CPL'!$A$18,N(I30)*'Bobot CPMK'!$P$9,0),IF('Bobot CPMK'!$B$10='Peta CPL'!$A$18,N(J30)*'Bobot CPMK'!$P$10,0),IF('Bobot CPMK'!$B$11='Peta CPL'!$A$18,N(K30)*'Bobot CPMK'!$P$11,0))/SUM(IF('Bobot CPMK'!$B$4='Peta CPL'!$A$18,'Bobot CPMK'!$P$4,0),IF('Bobot CPMK'!$B$5='Peta CPL'!$A$18,'Bobot CPMK'!$P$5,0),IF('Bobot CPMK'!$B$6='Peta CPL'!$A$18,'Bobot CPMK'!$P$6,0),IF('Bobot CPMK'!$B$7='Peta CPL'!$A$18,'Bobot CPMK'!$P$7,0),IF('Bobot CPMK'!$B$8='Peta CPL'!$A$18,'Bobot CPMK'!$P$8,0),IF('Bobot CPMK'!$B$9='Peta CPL'!$A$18,'Bobot CPMK'!$P$9,0),IF('Bobot CPMK'!$B$10='Peta CPL'!$A$18,'Bobot CPMK'!$P$10,0),IF('Bobot CPMK'!$B$11='Peta CPL'!$A$18,'Bobot CPMK'!$P$11,0)),""))</f>
        <v/>
      </c>
      <c r="Q30" s="7">
        <f>IF(OR($B30="",'Peta CPL'!$A$19=""),"",IFERROR(SUM(IF('Bobot CPMK'!$B$4='Peta CPL'!$A$19,N(D30)*'Bobot CPMK'!$P$4,0),IF('Bobot CPMK'!$B$5='Peta CPL'!$A$19,N(E30)*'Bobot CPMK'!$P$5,0),IF('Bobot CPMK'!$B$6='Peta CPL'!$A$19,N(F30)*'Bobot CPMK'!$P$6,0),IF('Bobot CPMK'!$B$7='Peta CPL'!$A$19,N(G30)*'Bobot CPMK'!$P$7,0),IF('Bobot CPMK'!$B$8='Peta CPL'!$A$19,N(H30)*'Bobot CPMK'!$P$8,0),IF('Bobot CPMK'!$B$9='Peta CPL'!$A$19,N(I30)*'Bobot CPMK'!$P$9,0),IF('Bobot CPMK'!$B$10='Peta CPL'!$A$19,N(J30)*'Bobot CPMK'!$P$10,0),IF('Bobot CPMK'!$B$11='Peta CPL'!$A$19,N(K30)*'Bobot CPMK'!$P$11,0))/SUM(IF('Bobot CPMK'!$B$4='Peta CPL'!$A$19,'Bobot CPMK'!$P$4,0),IF('Bobot CPMK'!$B$5='Peta CPL'!$A$19,'Bobot CPMK'!$P$5,0),IF('Bobot CPMK'!$B$6='Peta CPL'!$A$19,'Bobot CPMK'!$P$6,0),IF('Bobot CPMK'!$B$7='Peta CPL'!$A$19,'Bobot CPMK'!$P$7,0),IF('Bobot CPMK'!$B$8='Peta CPL'!$A$19,'Bobot CPMK'!$P$8,0),IF('Bobot CPMK'!$B$9='Peta CPL'!$A$19,'Bobot CPMK'!$P$9,0),IF('Bobot CPMK'!$B$10='Peta CPL'!$A$19,'Bobot CPMK'!$P$10,0),IF('Bobot CPMK'!$B$11='Peta CPL'!$A$19,'Bobot CPMK'!$P$11,0)),""))</f>
        <v/>
      </c>
      <c r="R30" s="7">
        <f>IF(OR($B30="",'Peta CPL'!$A$20=""),"",IFERROR(SUM(IF('Bobot CPMK'!$B$4='Peta CPL'!$A$20,N(D30)*'Bobot CPMK'!$P$4,0),IF('Bobot CPMK'!$B$5='Peta CPL'!$A$20,N(E30)*'Bobot CPMK'!$P$5,0),IF('Bobot CPMK'!$B$6='Peta CPL'!$A$20,N(F30)*'Bobot CPMK'!$P$6,0),IF('Bobot CPMK'!$B$7='Peta CPL'!$A$20,N(G30)*'Bobot CPMK'!$P$7,0),IF('Bobot CPMK'!$B$8='Peta CPL'!$A$20,N(H30)*'Bobot CPMK'!$P$8,0),IF('Bobot CPMK'!$B$9='Peta CPL'!$A$20,N(I30)*'Bobot CPMK'!$P$9,0),IF('Bobot CPMK'!$B$10='Peta CPL'!$A$20,N(J30)*'Bobot CPMK'!$P$10,0),IF('Bobot CPMK'!$B$11='Peta CPL'!$A$20,N(K30)*'Bobot CPMK'!$P$11,0))/SUM(IF('Bobot CPMK'!$B$4='Peta CPL'!$A$20,'Bobot CPMK'!$P$4,0),IF('Bobot CPMK'!$B$5='Peta CPL'!$A$20,'Bobot CPMK'!$P$5,0),IF('Bobot CPMK'!$B$6='Peta CPL'!$A$20,'Bobot CPMK'!$P$6,0),IF('Bobot CPMK'!$B$7='Peta CPL'!$A$20,'Bobot CPMK'!$P$7,0),IF('Bobot CPMK'!$B$8='Peta CPL'!$A$20,'Bobot CPMK'!$P$8,0),IF('Bobot CPMK'!$B$9='Peta CPL'!$A$20,'Bobot CPMK'!$P$9,0),IF('Bobot CPMK'!$B$10='Peta CPL'!$A$20,'Bobot CPMK'!$P$10,0),IF('Bobot CPMK'!$B$11='Peta CPL'!$A$20,'Bobot CPMK'!$P$11,0)),""))</f>
        <v/>
      </c>
      <c r="S30" s="7">
        <f>IF(OR($B30="",'Peta CPL'!$A$21=""),"",IFERROR(SUM(IF('Bobot CPMK'!$B$4='Peta CPL'!$A$21,N(D30)*'Bobot CPMK'!$P$4,0),IF('Bobot CPMK'!$B$5='Peta CPL'!$A$21,N(E30)*'Bobot CPMK'!$P$5,0),IF('Bobot CPMK'!$B$6='Peta CPL'!$A$21,N(F30)*'Bobot CPMK'!$P$6,0),IF('Bobot CPMK'!$B$7='Peta CPL'!$A$21,N(G30)*'Bobot CPMK'!$P$7,0),IF('Bobot CPMK'!$B$8='Peta CPL'!$A$21,N(H30)*'Bobot CPMK'!$P$8,0),IF('Bobot CPMK'!$B$9='Peta CPL'!$A$21,N(I30)*'Bobot CPMK'!$P$9,0),IF('Bobot CPMK'!$B$10='Peta CPL'!$A$21,N(J30)*'Bobot CPMK'!$P$10,0),IF('Bobot CPMK'!$B$11='Peta CPL'!$A$21,N(K30)*'Bobot CPMK'!$P$11,0))/SUM(IF('Bobot CPMK'!$B$4='Peta CPL'!$A$21,'Bobot CPMK'!$P$4,0),IF('Bobot CPMK'!$B$5='Peta CPL'!$A$21,'Bobot CPMK'!$P$5,0),IF('Bobot CPMK'!$B$6='Peta CPL'!$A$21,'Bobot CPMK'!$P$6,0),IF('Bobot CPMK'!$B$7='Peta CPL'!$A$21,'Bobot CPMK'!$P$7,0),IF('Bobot CPMK'!$B$8='Peta CPL'!$A$21,'Bobot CPMK'!$P$8,0),IF('Bobot CPMK'!$B$9='Peta CPL'!$A$21,'Bobot CPMK'!$P$9,0),IF('Bobot CPMK'!$B$10='Peta CPL'!$A$21,'Bobot CPMK'!$P$10,0),IF('Bobot CPMK'!$B$11='Peta CPL'!$A$21,'Bobot CPMK'!$P$11,0)),""))</f>
        <v/>
      </c>
      <c r="T30" s="7">
        <f>IF(OR($B30="",'Peta CPL'!$A$5=""),"",IFERROR((N(L30)*N('Peta CPL'!$C$14)*N('Peta CPL'!$D$14)+N(M30)*N('Peta CPL'!$C$15)*N('Peta CPL'!$D$15)+N(N30)*N('Peta CPL'!$C$16)*N('Peta CPL'!$D$16)+N(O30)*N('Peta CPL'!$C$17)*N('Peta CPL'!$D$17)+N(P30)*N('Peta CPL'!$C$18)*N('Peta CPL'!$D$18)+N(Q30)*N('Peta CPL'!$C$19)*N('Peta CPL'!$D$19)+N(R30)*N('Peta CPL'!$C$20)*N('Peta CPL'!$D$20)+N(S30)*N('Peta CPL'!$C$21)*N('Peta CPL'!$D$21))/(N('Peta CPL'!$C$14)*N('Peta CPL'!$D$14)+N('Peta CPL'!$C$15)*N('Peta CPL'!$D$15)+N('Peta CPL'!$C$16)*N('Peta CPL'!$D$16)+N('Peta CPL'!$C$17)*N('Peta CPL'!$D$17)+N('Peta CPL'!$C$18)*N('Peta CPL'!$D$18)+N('Peta CPL'!$C$19)*N('Peta CPL'!$D$19)+N('Peta CPL'!$C$20)*N('Peta CPL'!$D$20)+N('Peta CPL'!$C$21)*N('Peta CPL'!$D$21)),""))</f>
        <v/>
      </c>
      <c r="U30" s="7">
        <f>IF(OR($B30="",'Peta CPL'!$A$6=""),"",IFERROR((N(L30)*N('Peta CPL'!$C$14)*N('Peta CPL'!$E$14)+N(M30)*N('Peta CPL'!$C$15)*N('Peta CPL'!$E$15)+N(N30)*N('Peta CPL'!$C$16)*N('Peta CPL'!$E$16)+N(O30)*N('Peta CPL'!$C$17)*N('Peta CPL'!$E$17)+N(P30)*N('Peta CPL'!$C$18)*N('Peta CPL'!$E$18)+N(Q30)*N('Peta CPL'!$C$19)*N('Peta CPL'!$E$19)+N(R30)*N('Peta CPL'!$C$20)*N('Peta CPL'!$E$20)+N(S30)*N('Peta CPL'!$C$21)*N('Peta CPL'!$E$21))/(N('Peta CPL'!$C$14)*N('Peta CPL'!$E$14)+N('Peta CPL'!$C$15)*N('Peta CPL'!$E$15)+N('Peta CPL'!$C$16)*N('Peta CPL'!$E$16)+N('Peta CPL'!$C$17)*N('Peta CPL'!$E$17)+N('Peta CPL'!$C$18)*N('Peta CPL'!$E$18)+N('Peta CPL'!$C$19)*N('Peta CPL'!$E$19)+N('Peta CPL'!$C$20)*N('Peta CPL'!$E$20)+N('Peta CPL'!$C$21)*N('Peta CPL'!$E$21)),""))</f>
        <v/>
      </c>
      <c r="V30" s="7">
        <f>IF(OR($B30="",'Peta CPL'!$A$7=""),"",IFERROR((N(L30)*N('Peta CPL'!$C$14)*N('Peta CPL'!$F$14)+N(M30)*N('Peta CPL'!$C$15)*N('Peta CPL'!$F$15)+N(N30)*N('Peta CPL'!$C$16)*N('Peta CPL'!$F$16)+N(O30)*N('Peta CPL'!$C$17)*N('Peta CPL'!$F$17)+N(P30)*N('Peta CPL'!$C$18)*N('Peta CPL'!$F$18)+N(Q30)*N('Peta CPL'!$C$19)*N('Peta CPL'!$F$19)+N(R30)*N('Peta CPL'!$C$20)*N('Peta CPL'!$F$20)+N(S30)*N('Peta CPL'!$C$21)*N('Peta CPL'!$F$21))/(N('Peta CPL'!$C$14)*N('Peta CPL'!$F$14)+N('Peta CPL'!$C$15)*N('Peta CPL'!$F$15)+N('Peta CPL'!$C$16)*N('Peta CPL'!$F$16)+N('Peta CPL'!$C$17)*N('Peta CPL'!$F$17)+N('Peta CPL'!$C$18)*N('Peta CPL'!$F$18)+N('Peta CPL'!$C$19)*N('Peta CPL'!$F$19)+N('Peta CPL'!$C$20)*N('Peta CPL'!$F$20)+N('Peta CPL'!$C$21)*N('Peta CPL'!$F$21)),""))</f>
        <v/>
      </c>
      <c r="W30" s="7">
        <f>IF(OR($B30="",'Peta CPL'!$A$8=""),"",IFERROR((N(L30)*N('Peta CPL'!$C$14)*N('Peta CPL'!$G$14)+N(M30)*N('Peta CPL'!$C$15)*N('Peta CPL'!$G$15)+N(N30)*N('Peta CPL'!$C$16)*N('Peta CPL'!$G$16)+N(O30)*N('Peta CPL'!$C$17)*N('Peta CPL'!$G$17)+N(P30)*N('Peta CPL'!$C$18)*N('Peta CPL'!$G$18)+N(Q30)*N('Peta CPL'!$C$19)*N('Peta CPL'!$G$19)+N(R30)*N('Peta CPL'!$C$20)*N('Peta CPL'!$G$20)+N(S30)*N('Peta CPL'!$C$21)*N('Peta CPL'!$G$21))/(N('Peta CPL'!$C$14)*N('Peta CPL'!$G$14)+N('Peta CPL'!$C$15)*N('Peta CPL'!$G$15)+N('Peta CPL'!$C$16)*N('Peta CPL'!$G$16)+N('Peta CPL'!$C$17)*N('Peta CPL'!$G$17)+N('Peta CPL'!$C$18)*N('Peta CPL'!$G$18)+N('Peta CPL'!$C$19)*N('Peta CPL'!$G$19)+N('Peta CPL'!$C$20)*N('Peta CPL'!$G$20)+N('Peta CPL'!$C$21)*N('Peta CPL'!$G$21)),""))</f>
        <v/>
      </c>
      <c r="X30" s="7">
        <f>IF(OR($B30="",'Peta CPL'!$A$9=""),"",IFERROR((N(L30)*N('Peta CPL'!$C$14)*N('Peta CPL'!$H$14)+N(M30)*N('Peta CPL'!$C$15)*N('Peta CPL'!$H$15)+N(N30)*N('Peta CPL'!$C$16)*N('Peta CPL'!$H$16)+N(O30)*N('Peta CPL'!$C$17)*N('Peta CPL'!$H$17)+N(P30)*N('Peta CPL'!$C$18)*N('Peta CPL'!$H$18)+N(Q30)*N('Peta CPL'!$C$19)*N('Peta CPL'!$H$19)+N(R30)*N('Peta CPL'!$C$20)*N('Peta CPL'!$H$20)+N(S30)*N('Peta CPL'!$C$21)*N('Peta CPL'!$H$21))/(N('Peta CPL'!$C$14)*N('Peta CPL'!$H$14)+N('Peta CPL'!$C$15)*N('Peta CPL'!$H$15)+N('Peta CPL'!$C$16)*N('Peta CPL'!$H$16)+N('Peta CPL'!$C$17)*N('Peta CPL'!$H$17)+N('Peta CPL'!$C$18)*N('Peta CPL'!$H$18)+N('Peta CPL'!$C$19)*N('Peta CPL'!$H$19)+N('Peta CPL'!$C$20)*N('Peta CPL'!$H$20)+N('Peta CPL'!$C$21)*N('Peta CPL'!$H$21)),""))</f>
        <v/>
      </c>
      <c r="Y30" s="7">
        <f>IF(OR($B30="",'Peta CPL'!$A$10=""),"",IFERROR((N(L30)*N('Peta CPL'!$C$14)*N('Peta CPL'!$I$14)+N(M30)*N('Peta CPL'!$C$15)*N('Peta CPL'!$I$15)+N(N30)*N('Peta CPL'!$C$16)*N('Peta CPL'!$I$16)+N(O30)*N('Peta CPL'!$C$17)*N('Peta CPL'!$I$17)+N(P30)*N('Peta CPL'!$C$18)*N('Peta CPL'!$I$18)+N(Q30)*N('Peta CPL'!$C$19)*N('Peta CPL'!$I$19)+N(R30)*N('Peta CPL'!$C$20)*N('Peta CPL'!$I$20)+N(S30)*N('Peta CPL'!$C$21)*N('Peta CPL'!$I$21))/(N('Peta CPL'!$C$14)*N('Peta CPL'!$I$14)+N('Peta CPL'!$C$15)*N('Peta CPL'!$I$15)+N('Peta CPL'!$C$16)*N('Peta CPL'!$I$16)+N('Peta CPL'!$C$17)*N('Peta CPL'!$I$17)+N('Peta CPL'!$C$18)*N('Peta CPL'!$I$18)+N('Peta CPL'!$C$19)*N('Peta CPL'!$I$19)+N('Peta CPL'!$C$20)*N('Peta CPL'!$I$20)+N('Peta CPL'!$C$21)*N('Peta CPL'!$I$21)),""))</f>
        <v/>
      </c>
      <c r="Z30" s="7">
        <f>IF($B30="","",IFERROR((N(L30)*N('Peta CPL'!$C$14)+N(M30)*N('Peta CPL'!$C$15)+N(N30)*N('Peta CPL'!$C$16)+N(O30)*N('Peta CPL'!$C$17)+N(P30)*N('Peta CPL'!$C$18)+N(Q30)*N('Peta CPL'!$C$19)+N(R30)*N('Peta CPL'!$C$20)+N(S30)*N('Peta CPL'!$C$21))/100,""))</f>
        <v/>
      </c>
    </row>
    <row r="31">
      <c r="A31" s="7">
        <f>'Input Nilai'!A31</f>
        <v/>
      </c>
      <c r="B31" s="7">
        <f>'Input Nilai'!B31</f>
        <v/>
      </c>
      <c r="C31" s="15">
        <f>'Input Nilai'!C31</f>
        <v/>
      </c>
      <c r="D31" s="7">
        <f>IF(OR('Input Nilai'!$B31="",'Bobot CPMK'!$O$4=0),"",(SUMPRODUCT('Input Nilai'!D31:L31,'Bobot CPMK'!$E$4:$M$4)+'Input Nilai'!$BX31*'Bobot CPMK'!$N$4)/'Bobot CPMK'!$O$4)</f>
        <v/>
      </c>
      <c r="E31" s="7">
        <f>IF(OR('Input Nilai'!$B31="",'Bobot CPMK'!$O$5=0),"",(SUMPRODUCT('Input Nilai'!M31:U31,'Bobot CPMK'!$E$5:$M$5)+'Input Nilai'!$BX31*'Bobot CPMK'!$N$5)/'Bobot CPMK'!$O$5)</f>
        <v/>
      </c>
      <c r="F31" s="7">
        <f>IF(OR('Input Nilai'!$B31="",'Bobot CPMK'!$O$6=0),"",(SUMPRODUCT('Input Nilai'!V31:AD31,'Bobot CPMK'!$E$6:$M$6)+'Input Nilai'!$BX31*'Bobot CPMK'!$N$6)/'Bobot CPMK'!$O$6)</f>
        <v/>
      </c>
      <c r="G31" s="7">
        <f>IF(OR('Input Nilai'!$B31="",'Bobot CPMK'!$O$7=0),"",(SUMPRODUCT('Input Nilai'!AE31:AM31,'Bobot CPMK'!$E$7:$M$7)+'Input Nilai'!$BX31*'Bobot CPMK'!$N$7)/'Bobot CPMK'!$O$7)</f>
        <v/>
      </c>
      <c r="H31" s="7">
        <f>IF(OR('Input Nilai'!$B31="",'Bobot CPMK'!$O$8=0),"",(SUMPRODUCT('Input Nilai'!AN31:AV31,'Bobot CPMK'!$E$8:$M$8)+'Input Nilai'!$BX31*'Bobot CPMK'!$N$8)/'Bobot CPMK'!$O$8)</f>
        <v/>
      </c>
      <c r="I31" s="7">
        <f>IF(OR('Input Nilai'!$B31="",'Bobot CPMK'!$O$9=0),"",(SUMPRODUCT('Input Nilai'!AW31:BE31,'Bobot CPMK'!$E$9:$M$9)+'Input Nilai'!$BX31*'Bobot CPMK'!$N$9)/'Bobot CPMK'!$O$9)</f>
        <v/>
      </c>
      <c r="J31" s="7">
        <f>IF(OR('Input Nilai'!$B31="",'Bobot CPMK'!$O$10=0),"",(SUMPRODUCT('Input Nilai'!BF31:BN31,'Bobot CPMK'!$E$10:$M$10)+'Input Nilai'!$BX31*'Bobot CPMK'!$N$10)/'Bobot CPMK'!$O$10)</f>
        <v/>
      </c>
      <c r="K31" s="7">
        <f>IF(OR('Input Nilai'!$B31="",'Bobot CPMK'!$O$11=0),"",(SUMPRODUCT('Input Nilai'!BO31:BW31,'Bobot CPMK'!$E$11:$M$11)+'Input Nilai'!$BX31*'Bobot CPMK'!$N$11)/'Bobot CPMK'!$O$11)</f>
        <v/>
      </c>
      <c r="L31" s="7">
        <f>IF(OR($B31="",'Peta CPL'!$A$14=""),"",IFERROR(SUM(IF('Bobot CPMK'!$B$4='Peta CPL'!$A$14,N(D31)*'Bobot CPMK'!$P$4,0),IF('Bobot CPMK'!$B$5='Peta CPL'!$A$14,N(E31)*'Bobot CPMK'!$P$5,0),IF('Bobot CPMK'!$B$6='Peta CPL'!$A$14,N(F31)*'Bobot CPMK'!$P$6,0),IF('Bobot CPMK'!$B$7='Peta CPL'!$A$14,N(G31)*'Bobot CPMK'!$P$7,0),IF('Bobot CPMK'!$B$8='Peta CPL'!$A$14,N(H31)*'Bobot CPMK'!$P$8,0),IF('Bobot CPMK'!$B$9='Peta CPL'!$A$14,N(I31)*'Bobot CPMK'!$P$9,0),IF('Bobot CPMK'!$B$10='Peta CPL'!$A$14,N(J31)*'Bobot CPMK'!$P$10,0),IF('Bobot CPMK'!$B$11='Peta CPL'!$A$14,N(K31)*'Bobot CPMK'!$P$11,0))/SUM(IF('Bobot CPMK'!$B$4='Peta CPL'!$A$14,'Bobot CPMK'!$P$4,0),IF('Bobot CPMK'!$B$5='Peta CPL'!$A$14,'Bobot CPMK'!$P$5,0),IF('Bobot CPMK'!$B$6='Peta CPL'!$A$14,'Bobot CPMK'!$P$6,0),IF('Bobot CPMK'!$B$7='Peta CPL'!$A$14,'Bobot CPMK'!$P$7,0),IF('Bobot CPMK'!$B$8='Peta CPL'!$A$14,'Bobot CPMK'!$P$8,0),IF('Bobot CPMK'!$B$9='Peta CPL'!$A$14,'Bobot CPMK'!$P$9,0),IF('Bobot CPMK'!$B$10='Peta CPL'!$A$14,'Bobot CPMK'!$P$10,0),IF('Bobot CPMK'!$B$11='Peta CPL'!$A$14,'Bobot CPMK'!$P$11,0)),""))</f>
        <v/>
      </c>
      <c r="M31" s="7">
        <f>IF(OR($B31="",'Peta CPL'!$A$15=""),"",IFERROR(SUM(IF('Bobot CPMK'!$B$4='Peta CPL'!$A$15,N(D31)*'Bobot CPMK'!$P$4,0),IF('Bobot CPMK'!$B$5='Peta CPL'!$A$15,N(E31)*'Bobot CPMK'!$P$5,0),IF('Bobot CPMK'!$B$6='Peta CPL'!$A$15,N(F31)*'Bobot CPMK'!$P$6,0),IF('Bobot CPMK'!$B$7='Peta CPL'!$A$15,N(G31)*'Bobot CPMK'!$P$7,0),IF('Bobot CPMK'!$B$8='Peta CPL'!$A$15,N(H31)*'Bobot CPMK'!$P$8,0),IF('Bobot CPMK'!$B$9='Peta CPL'!$A$15,N(I31)*'Bobot CPMK'!$P$9,0),IF('Bobot CPMK'!$B$10='Peta CPL'!$A$15,N(J31)*'Bobot CPMK'!$P$10,0),IF('Bobot CPMK'!$B$11='Peta CPL'!$A$15,N(K31)*'Bobot CPMK'!$P$11,0))/SUM(IF('Bobot CPMK'!$B$4='Peta CPL'!$A$15,'Bobot CPMK'!$P$4,0),IF('Bobot CPMK'!$B$5='Peta CPL'!$A$15,'Bobot CPMK'!$P$5,0),IF('Bobot CPMK'!$B$6='Peta CPL'!$A$15,'Bobot CPMK'!$P$6,0),IF('Bobot CPMK'!$B$7='Peta CPL'!$A$15,'Bobot CPMK'!$P$7,0),IF('Bobot CPMK'!$B$8='Peta CPL'!$A$15,'Bobot CPMK'!$P$8,0),IF('Bobot CPMK'!$B$9='Peta CPL'!$A$15,'Bobot CPMK'!$P$9,0),IF('Bobot CPMK'!$B$10='Peta CPL'!$A$15,'Bobot CPMK'!$P$10,0),IF('Bobot CPMK'!$B$11='Peta CPL'!$A$15,'Bobot CPMK'!$P$11,0)),""))</f>
        <v/>
      </c>
      <c r="N31" s="7">
        <f>IF(OR($B31="",'Peta CPL'!$A$16=""),"",IFERROR(SUM(IF('Bobot CPMK'!$B$4='Peta CPL'!$A$16,N(D31)*'Bobot CPMK'!$P$4,0),IF('Bobot CPMK'!$B$5='Peta CPL'!$A$16,N(E31)*'Bobot CPMK'!$P$5,0),IF('Bobot CPMK'!$B$6='Peta CPL'!$A$16,N(F31)*'Bobot CPMK'!$P$6,0),IF('Bobot CPMK'!$B$7='Peta CPL'!$A$16,N(G31)*'Bobot CPMK'!$P$7,0),IF('Bobot CPMK'!$B$8='Peta CPL'!$A$16,N(H31)*'Bobot CPMK'!$P$8,0),IF('Bobot CPMK'!$B$9='Peta CPL'!$A$16,N(I31)*'Bobot CPMK'!$P$9,0),IF('Bobot CPMK'!$B$10='Peta CPL'!$A$16,N(J31)*'Bobot CPMK'!$P$10,0),IF('Bobot CPMK'!$B$11='Peta CPL'!$A$16,N(K31)*'Bobot CPMK'!$P$11,0))/SUM(IF('Bobot CPMK'!$B$4='Peta CPL'!$A$16,'Bobot CPMK'!$P$4,0),IF('Bobot CPMK'!$B$5='Peta CPL'!$A$16,'Bobot CPMK'!$P$5,0),IF('Bobot CPMK'!$B$6='Peta CPL'!$A$16,'Bobot CPMK'!$P$6,0),IF('Bobot CPMK'!$B$7='Peta CPL'!$A$16,'Bobot CPMK'!$P$7,0),IF('Bobot CPMK'!$B$8='Peta CPL'!$A$16,'Bobot CPMK'!$P$8,0),IF('Bobot CPMK'!$B$9='Peta CPL'!$A$16,'Bobot CPMK'!$P$9,0),IF('Bobot CPMK'!$B$10='Peta CPL'!$A$16,'Bobot CPMK'!$P$10,0),IF('Bobot CPMK'!$B$11='Peta CPL'!$A$16,'Bobot CPMK'!$P$11,0)),""))</f>
        <v/>
      </c>
      <c r="O31" s="7">
        <f>IF(OR($B31="",'Peta CPL'!$A$17=""),"",IFERROR(SUM(IF('Bobot CPMK'!$B$4='Peta CPL'!$A$17,N(D31)*'Bobot CPMK'!$P$4,0),IF('Bobot CPMK'!$B$5='Peta CPL'!$A$17,N(E31)*'Bobot CPMK'!$P$5,0),IF('Bobot CPMK'!$B$6='Peta CPL'!$A$17,N(F31)*'Bobot CPMK'!$P$6,0),IF('Bobot CPMK'!$B$7='Peta CPL'!$A$17,N(G31)*'Bobot CPMK'!$P$7,0),IF('Bobot CPMK'!$B$8='Peta CPL'!$A$17,N(H31)*'Bobot CPMK'!$P$8,0),IF('Bobot CPMK'!$B$9='Peta CPL'!$A$17,N(I31)*'Bobot CPMK'!$P$9,0),IF('Bobot CPMK'!$B$10='Peta CPL'!$A$17,N(J31)*'Bobot CPMK'!$P$10,0),IF('Bobot CPMK'!$B$11='Peta CPL'!$A$17,N(K31)*'Bobot CPMK'!$P$11,0))/SUM(IF('Bobot CPMK'!$B$4='Peta CPL'!$A$17,'Bobot CPMK'!$P$4,0),IF('Bobot CPMK'!$B$5='Peta CPL'!$A$17,'Bobot CPMK'!$P$5,0),IF('Bobot CPMK'!$B$6='Peta CPL'!$A$17,'Bobot CPMK'!$P$6,0),IF('Bobot CPMK'!$B$7='Peta CPL'!$A$17,'Bobot CPMK'!$P$7,0),IF('Bobot CPMK'!$B$8='Peta CPL'!$A$17,'Bobot CPMK'!$P$8,0),IF('Bobot CPMK'!$B$9='Peta CPL'!$A$17,'Bobot CPMK'!$P$9,0),IF('Bobot CPMK'!$B$10='Peta CPL'!$A$17,'Bobot CPMK'!$P$10,0),IF('Bobot CPMK'!$B$11='Peta CPL'!$A$17,'Bobot CPMK'!$P$11,0)),""))</f>
        <v/>
      </c>
      <c r="P31" s="7">
        <f>IF(OR($B31="",'Peta CPL'!$A$18=""),"",IFERROR(SUM(IF('Bobot CPMK'!$B$4='Peta CPL'!$A$18,N(D31)*'Bobot CPMK'!$P$4,0),IF('Bobot CPMK'!$B$5='Peta CPL'!$A$18,N(E31)*'Bobot CPMK'!$P$5,0),IF('Bobot CPMK'!$B$6='Peta CPL'!$A$18,N(F31)*'Bobot CPMK'!$P$6,0),IF('Bobot CPMK'!$B$7='Peta CPL'!$A$18,N(G31)*'Bobot CPMK'!$P$7,0),IF('Bobot CPMK'!$B$8='Peta CPL'!$A$18,N(H31)*'Bobot CPMK'!$P$8,0),IF('Bobot CPMK'!$B$9='Peta CPL'!$A$18,N(I31)*'Bobot CPMK'!$P$9,0),IF('Bobot CPMK'!$B$10='Peta CPL'!$A$18,N(J31)*'Bobot CPMK'!$P$10,0),IF('Bobot CPMK'!$B$11='Peta CPL'!$A$18,N(K31)*'Bobot CPMK'!$P$11,0))/SUM(IF('Bobot CPMK'!$B$4='Peta CPL'!$A$18,'Bobot CPMK'!$P$4,0),IF('Bobot CPMK'!$B$5='Peta CPL'!$A$18,'Bobot CPMK'!$P$5,0),IF('Bobot CPMK'!$B$6='Peta CPL'!$A$18,'Bobot CPMK'!$P$6,0),IF('Bobot CPMK'!$B$7='Peta CPL'!$A$18,'Bobot CPMK'!$P$7,0),IF('Bobot CPMK'!$B$8='Peta CPL'!$A$18,'Bobot CPMK'!$P$8,0),IF('Bobot CPMK'!$B$9='Peta CPL'!$A$18,'Bobot CPMK'!$P$9,0),IF('Bobot CPMK'!$B$10='Peta CPL'!$A$18,'Bobot CPMK'!$P$10,0),IF('Bobot CPMK'!$B$11='Peta CPL'!$A$18,'Bobot CPMK'!$P$11,0)),""))</f>
        <v/>
      </c>
      <c r="Q31" s="7">
        <f>IF(OR($B31="",'Peta CPL'!$A$19=""),"",IFERROR(SUM(IF('Bobot CPMK'!$B$4='Peta CPL'!$A$19,N(D31)*'Bobot CPMK'!$P$4,0),IF('Bobot CPMK'!$B$5='Peta CPL'!$A$19,N(E31)*'Bobot CPMK'!$P$5,0),IF('Bobot CPMK'!$B$6='Peta CPL'!$A$19,N(F31)*'Bobot CPMK'!$P$6,0),IF('Bobot CPMK'!$B$7='Peta CPL'!$A$19,N(G31)*'Bobot CPMK'!$P$7,0),IF('Bobot CPMK'!$B$8='Peta CPL'!$A$19,N(H31)*'Bobot CPMK'!$P$8,0),IF('Bobot CPMK'!$B$9='Peta CPL'!$A$19,N(I31)*'Bobot CPMK'!$P$9,0),IF('Bobot CPMK'!$B$10='Peta CPL'!$A$19,N(J31)*'Bobot CPMK'!$P$10,0),IF('Bobot CPMK'!$B$11='Peta CPL'!$A$19,N(K31)*'Bobot CPMK'!$P$11,0))/SUM(IF('Bobot CPMK'!$B$4='Peta CPL'!$A$19,'Bobot CPMK'!$P$4,0),IF('Bobot CPMK'!$B$5='Peta CPL'!$A$19,'Bobot CPMK'!$P$5,0),IF('Bobot CPMK'!$B$6='Peta CPL'!$A$19,'Bobot CPMK'!$P$6,0),IF('Bobot CPMK'!$B$7='Peta CPL'!$A$19,'Bobot CPMK'!$P$7,0),IF('Bobot CPMK'!$B$8='Peta CPL'!$A$19,'Bobot CPMK'!$P$8,0),IF('Bobot CPMK'!$B$9='Peta CPL'!$A$19,'Bobot CPMK'!$P$9,0),IF('Bobot CPMK'!$B$10='Peta CPL'!$A$19,'Bobot CPMK'!$P$10,0),IF('Bobot CPMK'!$B$11='Peta CPL'!$A$19,'Bobot CPMK'!$P$11,0)),""))</f>
        <v/>
      </c>
      <c r="R31" s="7">
        <f>IF(OR($B31="",'Peta CPL'!$A$20=""),"",IFERROR(SUM(IF('Bobot CPMK'!$B$4='Peta CPL'!$A$20,N(D31)*'Bobot CPMK'!$P$4,0),IF('Bobot CPMK'!$B$5='Peta CPL'!$A$20,N(E31)*'Bobot CPMK'!$P$5,0),IF('Bobot CPMK'!$B$6='Peta CPL'!$A$20,N(F31)*'Bobot CPMK'!$P$6,0),IF('Bobot CPMK'!$B$7='Peta CPL'!$A$20,N(G31)*'Bobot CPMK'!$P$7,0),IF('Bobot CPMK'!$B$8='Peta CPL'!$A$20,N(H31)*'Bobot CPMK'!$P$8,0),IF('Bobot CPMK'!$B$9='Peta CPL'!$A$20,N(I31)*'Bobot CPMK'!$P$9,0),IF('Bobot CPMK'!$B$10='Peta CPL'!$A$20,N(J31)*'Bobot CPMK'!$P$10,0),IF('Bobot CPMK'!$B$11='Peta CPL'!$A$20,N(K31)*'Bobot CPMK'!$P$11,0))/SUM(IF('Bobot CPMK'!$B$4='Peta CPL'!$A$20,'Bobot CPMK'!$P$4,0),IF('Bobot CPMK'!$B$5='Peta CPL'!$A$20,'Bobot CPMK'!$P$5,0),IF('Bobot CPMK'!$B$6='Peta CPL'!$A$20,'Bobot CPMK'!$P$6,0),IF('Bobot CPMK'!$B$7='Peta CPL'!$A$20,'Bobot CPMK'!$P$7,0),IF('Bobot CPMK'!$B$8='Peta CPL'!$A$20,'Bobot CPMK'!$P$8,0),IF('Bobot CPMK'!$B$9='Peta CPL'!$A$20,'Bobot CPMK'!$P$9,0),IF('Bobot CPMK'!$B$10='Peta CPL'!$A$20,'Bobot CPMK'!$P$10,0),IF('Bobot CPMK'!$B$11='Peta CPL'!$A$20,'Bobot CPMK'!$P$11,0)),""))</f>
        <v/>
      </c>
      <c r="S31" s="7">
        <f>IF(OR($B31="",'Peta CPL'!$A$21=""),"",IFERROR(SUM(IF('Bobot CPMK'!$B$4='Peta CPL'!$A$21,N(D31)*'Bobot CPMK'!$P$4,0),IF('Bobot CPMK'!$B$5='Peta CPL'!$A$21,N(E31)*'Bobot CPMK'!$P$5,0),IF('Bobot CPMK'!$B$6='Peta CPL'!$A$21,N(F31)*'Bobot CPMK'!$P$6,0),IF('Bobot CPMK'!$B$7='Peta CPL'!$A$21,N(G31)*'Bobot CPMK'!$P$7,0),IF('Bobot CPMK'!$B$8='Peta CPL'!$A$21,N(H31)*'Bobot CPMK'!$P$8,0),IF('Bobot CPMK'!$B$9='Peta CPL'!$A$21,N(I31)*'Bobot CPMK'!$P$9,0),IF('Bobot CPMK'!$B$10='Peta CPL'!$A$21,N(J31)*'Bobot CPMK'!$P$10,0),IF('Bobot CPMK'!$B$11='Peta CPL'!$A$21,N(K31)*'Bobot CPMK'!$P$11,0))/SUM(IF('Bobot CPMK'!$B$4='Peta CPL'!$A$21,'Bobot CPMK'!$P$4,0),IF('Bobot CPMK'!$B$5='Peta CPL'!$A$21,'Bobot CPMK'!$P$5,0),IF('Bobot CPMK'!$B$6='Peta CPL'!$A$21,'Bobot CPMK'!$P$6,0),IF('Bobot CPMK'!$B$7='Peta CPL'!$A$21,'Bobot CPMK'!$P$7,0),IF('Bobot CPMK'!$B$8='Peta CPL'!$A$21,'Bobot CPMK'!$P$8,0),IF('Bobot CPMK'!$B$9='Peta CPL'!$A$21,'Bobot CPMK'!$P$9,0),IF('Bobot CPMK'!$B$10='Peta CPL'!$A$21,'Bobot CPMK'!$P$10,0),IF('Bobot CPMK'!$B$11='Peta CPL'!$A$21,'Bobot CPMK'!$P$11,0)),""))</f>
        <v/>
      </c>
      <c r="T31" s="7">
        <f>IF(OR($B31="",'Peta CPL'!$A$5=""),"",IFERROR((N(L31)*N('Peta CPL'!$C$14)*N('Peta CPL'!$D$14)+N(M31)*N('Peta CPL'!$C$15)*N('Peta CPL'!$D$15)+N(N31)*N('Peta CPL'!$C$16)*N('Peta CPL'!$D$16)+N(O31)*N('Peta CPL'!$C$17)*N('Peta CPL'!$D$17)+N(P31)*N('Peta CPL'!$C$18)*N('Peta CPL'!$D$18)+N(Q31)*N('Peta CPL'!$C$19)*N('Peta CPL'!$D$19)+N(R31)*N('Peta CPL'!$C$20)*N('Peta CPL'!$D$20)+N(S31)*N('Peta CPL'!$C$21)*N('Peta CPL'!$D$21))/(N('Peta CPL'!$C$14)*N('Peta CPL'!$D$14)+N('Peta CPL'!$C$15)*N('Peta CPL'!$D$15)+N('Peta CPL'!$C$16)*N('Peta CPL'!$D$16)+N('Peta CPL'!$C$17)*N('Peta CPL'!$D$17)+N('Peta CPL'!$C$18)*N('Peta CPL'!$D$18)+N('Peta CPL'!$C$19)*N('Peta CPL'!$D$19)+N('Peta CPL'!$C$20)*N('Peta CPL'!$D$20)+N('Peta CPL'!$C$21)*N('Peta CPL'!$D$21)),""))</f>
        <v/>
      </c>
      <c r="U31" s="7">
        <f>IF(OR($B31="",'Peta CPL'!$A$6=""),"",IFERROR((N(L31)*N('Peta CPL'!$C$14)*N('Peta CPL'!$E$14)+N(M31)*N('Peta CPL'!$C$15)*N('Peta CPL'!$E$15)+N(N31)*N('Peta CPL'!$C$16)*N('Peta CPL'!$E$16)+N(O31)*N('Peta CPL'!$C$17)*N('Peta CPL'!$E$17)+N(P31)*N('Peta CPL'!$C$18)*N('Peta CPL'!$E$18)+N(Q31)*N('Peta CPL'!$C$19)*N('Peta CPL'!$E$19)+N(R31)*N('Peta CPL'!$C$20)*N('Peta CPL'!$E$20)+N(S31)*N('Peta CPL'!$C$21)*N('Peta CPL'!$E$21))/(N('Peta CPL'!$C$14)*N('Peta CPL'!$E$14)+N('Peta CPL'!$C$15)*N('Peta CPL'!$E$15)+N('Peta CPL'!$C$16)*N('Peta CPL'!$E$16)+N('Peta CPL'!$C$17)*N('Peta CPL'!$E$17)+N('Peta CPL'!$C$18)*N('Peta CPL'!$E$18)+N('Peta CPL'!$C$19)*N('Peta CPL'!$E$19)+N('Peta CPL'!$C$20)*N('Peta CPL'!$E$20)+N('Peta CPL'!$C$21)*N('Peta CPL'!$E$21)),""))</f>
        <v/>
      </c>
      <c r="V31" s="7">
        <f>IF(OR($B31="",'Peta CPL'!$A$7=""),"",IFERROR((N(L31)*N('Peta CPL'!$C$14)*N('Peta CPL'!$F$14)+N(M31)*N('Peta CPL'!$C$15)*N('Peta CPL'!$F$15)+N(N31)*N('Peta CPL'!$C$16)*N('Peta CPL'!$F$16)+N(O31)*N('Peta CPL'!$C$17)*N('Peta CPL'!$F$17)+N(P31)*N('Peta CPL'!$C$18)*N('Peta CPL'!$F$18)+N(Q31)*N('Peta CPL'!$C$19)*N('Peta CPL'!$F$19)+N(R31)*N('Peta CPL'!$C$20)*N('Peta CPL'!$F$20)+N(S31)*N('Peta CPL'!$C$21)*N('Peta CPL'!$F$21))/(N('Peta CPL'!$C$14)*N('Peta CPL'!$F$14)+N('Peta CPL'!$C$15)*N('Peta CPL'!$F$15)+N('Peta CPL'!$C$16)*N('Peta CPL'!$F$16)+N('Peta CPL'!$C$17)*N('Peta CPL'!$F$17)+N('Peta CPL'!$C$18)*N('Peta CPL'!$F$18)+N('Peta CPL'!$C$19)*N('Peta CPL'!$F$19)+N('Peta CPL'!$C$20)*N('Peta CPL'!$F$20)+N('Peta CPL'!$C$21)*N('Peta CPL'!$F$21)),""))</f>
        <v/>
      </c>
      <c r="W31" s="7">
        <f>IF(OR($B31="",'Peta CPL'!$A$8=""),"",IFERROR((N(L31)*N('Peta CPL'!$C$14)*N('Peta CPL'!$G$14)+N(M31)*N('Peta CPL'!$C$15)*N('Peta CPL'!$G$15)+N(N31)*N('Peta CPL'!$C$16)*N('Peta CPL'!$G$16)+N(O31)*N('Peta CPL'!$C$17)*N('Peta CPL'!$G$17)+N(P31)*N('Peta CPL'!$C$18)*N('Peta CPL'!$G$18)+N(Q31)*N('Peta CPL'!$C$19)*N('Peta CPL'!$G$19)+N(R31)*N('Peta CPL'!$C$20)*N('Peta CPL'!$G$20)+N(S31)*N('Peta CPL'!$C$21)*N('Peta CPL'!$G$21))/(N('Peta CPL'!$C$14)*N('Peta CPL'!$G$14)+N('Peta CPL'!$C$15)*N('Peta CPL'!$G$15)+N('Peta CPL'!$C$16)*N('Peta CPL'!$G$16)+N('Peta CPL'!$C$17)*N('Peta CPL'!$G$17)+N('Peta CPL'!$C$18)*N('Peta CPL'!$G$18)+N('Peta CPL'!$C$19)*N('Peta CPL'!$G$19)+N('Peta CPL'!$C$20)*N('Peta CPL'!$G$20)+N('Peta CPL'!$C$21)*N('Peta CPL'!$G$21)),""))</f>
        <v/>
      </c>
      <c r="X31" s="7">
        <f>IF(OR($B31="",'Peta CPL'!$A$9=""),"",IFERROR((N(L31)*N('Peta CPL'!$C$14)*N('Peta CPL'!$H$14)+N(M31)*N('Peta CPL'!$C$15)*N('Peta CPL'!$H$15)+N(N31)*N('Peta CPL'!$C$16)*N('Peta CPL'!$H$16)+N(O31)*N('Peta CPL'!$C$17)*N('Peta CPL'!$H$17)+N(P31)*N('Peta CPL'!$C$18)*N('Peta CPL'!$H$18)+N(Q31)*N('Peta CPL'!$C$19)*N('Peta CPL'!$H$19)+N(R31)*N('Peta CPL'!$C$20)*N('Peta CPL'!$H$20)+N(S31)*N('Peta CPL'!$C$21)*N('Peta CPL'!$H$21))/(N('Peta CPL'!$C$14)*N('Peta CPL'!$H$14)+N('Peta CPL'!$C$15)*N('Peta CPL'!$H$15)+N('Peta CPL'!$C$16)*N('Peta CPL'!$H$16)+N('Peta CPL'!$C$17)*N('Peta CPL'!$H$17)+N('Peta CPL'!$C$18)*N('Peta CPL'!$H$18)+N('Peta CPL'!$C$19)*N('Peta CPL'!$H$19)+N('Peta CPL'!$C$20)*N('Peta CPL'!$H$20)+N('Peta CPL'!$C$21)*N('Peta CPL'!$H$21)),""))</f>
        <v/>
      </c>
      <c r="Y31" s="7">
        <f>IF(OR($B31="",'Peta CPL'!$A$10=""),"",IFERROR((N(L31)*N('Peta CPL'!$C$14)*N('Peta CPL'!$I$14)+N(M31)*N('Peta CPL'!$C$15)*N('Peta CPL'!$I$15)+N(N31)*N('Peta CPL'!$C$16)*N('Peta CPL'!$I$16)+N(O31)*N('Peta CPL'!$C$17)*N('Peta CPL'!$I$17)+N(P31)*N('Peta CPL'!$C$18)*N('Peta CPL'!$I$18)+N(Q31)*N('Peta CPL'!$C$19)*N('Peta CPL'!$I$19)+N(R31)*N('Peta CPL'!$C$20)*N('Peta CPL'!$I$20)+N(S31)*N('Peta CPL'!$C$21)*N('Peta CPL'!$I$21))/(N('Peta CPL'!$C$14)*N('Peta CPL'!$I$14)+N('Peta CPL'!$C$15)*N('Peta CPL'!$I$15)+N('Peta CPL'!$C$16)*N('Peta CPL'!$I$16)+N('Peta CPL'!$C$17)*N('Peta CPL'!$I$17)+N('Peta CPL'!$C$18)*N('Peta CPL'!$I$18)+N('Peta CPL'!$C$19)*N('Peta CPL'!$I$19)+N('Peta CPL'!$C$20)*N('Peta CPL'!$I$20)+N('Peta CPL'!$C$21)*N('Peta CPL'!$I$21)),""))</f>
        <v/>
      </c>
      <c r="Z31" s="7">
        <f>IF($B31="","",IFERROR((N(L31)*N('Peta CPL'!$C$14)+N(M31)*N('Peta CPL'!$C$15)+N(N31)*N('Peta CPL'!$C$16)+N(O31)*N('Peta CPL'!$C$17)+N(P31)*N('Peta CPL'!$C$18)+N(Q31)*N('Peta CPL'!$C$19)+N(R31)*N('Peta CPL'!$C$20)+N(S31)*N('Peta CPL'!$C$21))/100,""))</f>
        <v/>
      </c>
    </row>
    <row r="32">
      <c r="A32" s="7">
        <f>'Input Nilai'!A32</f>
        <v/>
      </c>
      <c r="B32" s="7">
        <f>'Input Nilai'!B32</f>
        <v/>
      </c>
      <c r="C32" s="15">
        <f>'Input Nilai'!C32</f>
        <v/>
      </c>
      <c r="D32" s="7">
        <f>IF(OR('Input Nilai'!$B32="",'Bobot CPMK'!$O$4=0),"",(SUMPRODUCT('Input Nilai'!D32:L32,'Bobot CPMK'!$E$4:$M$4)+'Input Nilai'!$BX32*'Bobot CPMK'!$N$4)/'Bobot CPMK'!$O$4)</f>
        <v/>
      </c>
      <c r="E32" s="7">
        <f>IF(OR('Input Nilai'!$B32="",'Bobot CPMK'!$O$5=0),"",(SUMPRODUCT('Input Nilai'!M32:U32,'Bobot CPMK'!$E$5:$M$5)+'Input Nilai'!$BX32*'Bobot CPMK'!$N$5)/'Bobot CPMK'!$O$5)</f>
        <v/>
      </c>
      <c r="F32" s="7">
        <f>IF(OR('Input Nilai'!$B32="",'Bobot CPMK'!$O$6=0),"",(SUMPRODUCT('Input Nilai'!V32:AD32,'Bobot CPMK'!$E$6:$M$6)+'Input Nilai'!$BX32*'Bobot CPMK'!$N$6)/'Bobot CPMK'!$O$6)</f>
        <v/>
      </c>
      <c r="G32" s="7">
        <f>IF(OR('Input Nilai'!$B32="",'Bobot CPMK'!$O$7=0),"",(SUMPRODUCT('Input Nilai'!AE32:AM32,'Bobot CPMK'!$E$7:$M$7)+'Input Nilai'!$BX32*'Bobot CPMK'!$N$7)/'Bobot CPMK'!$O$7)</f>
        <v/>
      </c>
      <c r="H32" s="7">
        <f>IF(OR('Input Nilai'!$B32="",'Bobot CPMK'!$O$8=0),"",(SUMPRODUCT('Input Nilai'!AN32:AV32,'Bobot CPMK'!$E$8:$M$8)+'Input Nilai'!$BX32*'Bobot CPMK'!$N$8)/'Bobot CPMK'!$O$8)</f>
        <v/>
      </c>
      <c r="I32" s="7">
        <f>IF(OR('Input Nilai'!$B32="",'Bobot CPMK'!$O$9=0),"",(SUMPRODUCT('Input Nilai'!AW32:BE32,'Bobot CPMK'!$E$9:$M$9)+'Input Nilai'!$BX32*'Bobot CPMK'!$N$9)/'Bobot CPMK'!$O$9)</f>
        <v/>
      </c>
      <c r="J32" s="7">
        <f>IF(OR('Input Nilai'!$B32="",'Bobot CPMK'!$O$10=0),"",(SUMPRODUCT('Input Nilai'!BF32:BN32,'Bobot CPMK'!$E$10:$M$10)+'Input Nilai'!$BX32*'Bobot CPMK'!$N$10)/'Bobot CPMK'!$O$10)</f>
        <v/>
      </c>
      <c r="K32" s="7">
        <f>IF(OR('Input Nilai'!$B32="",'Bobot CPMK'!$O$11=0),"",(SUMPRODUCT('Input Nilai'!BO32:BW32,'Bobot CPMK'!$E$11:$M$11)+'Input Nilai'!$BX32*'Bobot CPMK'!$N$11)/'Bobot CPMK'!$O$11)</f>
        <v/>
      </c>
      <c r="L32" s="7">
        <f>IF(OR($B32="",'Peta CPL'!$A$14=""),"",IFERROR(SUM(IF('Bobot CPMK'!$B$4='Peta CPL'!$A$14,N(D32)*'Bobot CPMK'!$P$4,0),IF('Bobot CPMK'!$B$5='Peta CPL'!$A$14,N(E32)*'Bobot CPMK'!$P$5,0),IF('Bobot CPMK'!$B$6='Peta CPL'!$A$14,N(F32)*'Bobot CPMK'!$P$6,0),IF('Bobot CPMK'!$B$7='Peta CPL'!$A$14,N(G32)*'Bobot CPMK'!$P$7,0),IF('Bobot CPMK'!$B$8='Peta CPL'!$A$14,N(H32)*'Bobot CPMK'!$P$8,0),IF('Bobot CPMK'!$B$9='Peta CPL'!$A$14,N(I32)*'Bobot CPMK'!$P$9,0),IF('Bobot CPMK'!$B$10='Peta CPL'!$A$14,N(J32)*'Bobot CPMK'!$P$10,0),IF('Bobot CPMK'!$B$11='Peta CPL'!$A$14,N(K32)*'Bobot CPMK'!$P$11,0))/SUM(IF('Bobot CPMK'!$B$4='Peta CPL'!$A$14,'Bobot CPMK'!$P$4,0),IF('Bobot CPMK'!$B$5='Peta CPL'!$A$14,'Bobot CPMK'!$P$5,0),IF('Bobot CPMK'!$B$6='Peta CPL'!$A$14,'Bobot CPMK'!$P$6,0),IF('Bobot CPMK'!$B$7='Peta CPL'!$A$14,'Bobot CPMK'!$P$7,0),IF('Bobot CPMK'!$B$8='Peta CPL'!$A$14,'Bobot CPMK'!$P$8,0),IF('Bobot CPMK'!$B$9='Peta CPL'!$A$14,'Bobot CPMK'!$P$9,0),IF('Bobot CPMK'!$B$10='Peta CPL'!$A$14,'Bobot CPMK'!$P$10,0),IF('Bobot CPMK'!$B$11='Peta CPL'!$A$14,'Bobot CPMK'!$P$11,0)),""))</f>
        <v/>
      </c>
      <c r="M32" s="7">
        <f>IF(OR($B32="",'Peta CPL'!$A$15=""),"",IFERROR(SUM(IF('Bobot CPMK'!$B$4='Peta CPL'!$A$15,N(D32)*'Bobot CPMK'!$P$4,0),IF('Bobot CPMK'!$B$5='Peta CPL'!$A$15,N(E32)*'Bobot CPMK'!$P$5,0),IF('Bobot CPMK'!$B$6='Peta CPL'!$A$15,N(F32)*'Bobot CPMK'!$P$6,0),IF('Bobot CPMK'!$B$7='Peta CPL'!$A$15,N(G32)*'Bobot CPMK'!$P$7,0),IF('Bobot CPMK'!$B$8='Peta CPL'!$A$15,N(H32)*'Bobot CPMK'!$P$8,0),IF('Bobot CPMK'!$B$9='Peta CPL'!$A$15,N(I32)*'Bobot CPMK'!$P$9,0),IF('Bobot CPMK'!$B$10='Peta CPL'!$A$15,N(J32)*'Bobot CPMK'!$P$10,0),IF('Bobot CPMK'!$B$11='Peta CPL'!$A$15,N(K32)*'Bobot CPMK'!$P$11,0))/SUM(IF('Bobot CPMK'!$B$4='Peta CPL'!$A$15,'Bobot CPMK'!$P$4,0),IF('Bobot CPMK'!$B$5='Peta CPL'!$A$15,'Bobot CPMK'!$P$5,0),IF('Bobot CPMK'!$B$6='Peta CPL'!$A$15,'Bobot CPMK'!$P$6,0),IF('Bobot CPMK'!$B$7='Peta CPL'!$A$15,'Bobot CPMK'!$P$7,0),IF('Bobot CPMK'!$B$8='Peta CPL'!$A$15,'Bobot CPMK'!$P$8,0),IF('Bobot CPMK'!$B$9='Peta CPL'!$A$15,'Bobot CPMK'!$P$9,0),IF('Bobot CPMK'!$B$10='Peta CPL'!$A$15,'Bobot CPMK'!$P$10,0),IF('Bobot CPMK'!$B$11='Peta CPL'!$A$15,'Bobot CPMK'!$P$11,0)),""))</f>
        <v/>
      </c>
      <c r="N32" s="7">
        <f>IF(OR($B32="",'Peta CPL'!$A$16=""),"",IFERROR(SUM(IF('Bobot CPMK'!$B$4='Peta CPL'!$A$16,N(D32)*'Bobot CPMK'!$P$4,0),IF('Bobot CPMK'!$B$5='Peta CPL'!$A$16,N(E32)*'Bobot CPMK'!$P$5,0),IF('Bobot CPMK'!$B$6='Peta CPL'!$A$16,N(F32)*'Bobot CPMK'!$P$6,0),IF('Bobot CPMK'!$B$7='Peta CPL'!$A$16,N(G32)*'Bobot CPMK'!$P$7,0),IF('Bobot CPMK'!$B$8='Peta CPL'!$A$16,N(H32)*'Bobot CPMK'!$P$8,0),IF('Bobot CPMK'!$B$9='Peta CPL'!$A$16,N(I32)*'Bobot CPMK'!$P$9,0),IF('Bobot CPMK'!$B$10='Peta CPL'!$A$16,N(J32)*'Bobot CPMK'!$P$10,0),IF('Bobot CPMK'!$B$11='Peta CPL'!$A$16,N(K32)*'Bobot CPMK'!$P$11,0))/SUM(IF('Bobot CPMK'!$B$4='Peta CPL'!$A$16,'Bobot CPMK'!$P$4,0),IF('Bobot CPMK'!$B$5='Peta CPL'!$A$16,'Bobot CPMK'!$P$5,0),IF('Bobot CPMK'!$B$6='Peta CPL'!$A$16,'Bobot CPMK'!$P$6,0),IF('Bobot CPMK'!$B$7='Peta CPL'!$A$16,'Bobot CPMK'!$P$7,0),IF('Bobot CPMK'!$B$8='Peta CPL'!$A$16,'Bobot CPMK'!$P$8,0),IF('Bobot CPMK'!$B$9='Peta CPL'!$A$16,'Bobot CPMK'!$P$9,0),IF('Bobot CPMK'!$B$10='Peta CPL'!$A$16,'Bobot CPMK'!$P$10,0),IF('Bobot CPMK'!$B$11='Peta CPL'!$A$16,'Bobot CPMK'!$P$11,0)),""))</f>
        <v/>
      </c>
      <c r="O32" s="7">
        <f>IF(OR($B32="",'Peta CPL'!$A$17=""),"",IFERROR(SUM(IF('Bobot CPMK'!$B$4='Peta CPL'!$A$17,N(D32)*'Bobot CPMK'!$P$4,0),IF('Bobot CPMK'!$B$5='Peta CPL'!$A$17,N(E32)*'Bobot CPMK'!$P$5,0),IF('Bobot CPMK'!$B$6='Peta CPL'!$A$17,N(F32)*'Bobot CPMK'!$P$6,0),IF('Bobot CPMK'!$B$7='Peta CPL'!$A$17,N(G32)*'Bobot CPMK'!$P$7,0),IF('Bobot CPMK'!$B$8='Peta CPL'!$A$17,N(H32)*'Bobot CPMK'!$P$8,0),IF('Bobot CPMK'!$B$9='Peta CPL'!$A$17,N(I32)*'Bobot CPMK'!$P$9,0),IF('Bobot CPMK'!$B$10='Peta CPL'!$A$17,N(J32)*'Bobot CPMK'!$P$10,0),IF('Bobot CPMK'!$B$11='Peta CPL'!$A$17,N(K32)*'Bobot CPMK'!$P$11,0))/SUM(IF('Bobot CPMK'!$B$4='Peta CPL'!$A$17,'Bobot CPMK'!$P$4,0),IF('Bobot CPMK'!$B$5='Peta CPL'!$A$17,'Bobot CPMK'!$P$5,0),IF('Bobot CPMK'!$B$6='Peta CPL'!$A$17,'Bobot CPMK'!$P$6,0),IF('Bobot CPMK'!$B$7='Peta CPL'!$A$17,'Bobot CPMK'!$P$7,0),IF('Bobot CPMK'!$B$8='Peta CPL'!$A$17,'Bobot CPMK'!$P$8,0),IF('Bobot CPMK'!$B$9='Peta CPL'!$A$17,'Bobot CPMK'!$P$9,0),IF('Bobot CPMK'!$B$10='Peta CPL'!$A$17,'Bobot CPMK'!$P$10,0),IF('Bobot CPMK'!$B$11='Peta CPL'!$A$17,'Bobot CPMK'!$P$11,0)),""))</f>
        <v/>
      </c>
      <c r="P32" s="7">
        <f>IF(OR($B32="",'Peta CPL'!$A$18=""),"",IFERROR(SUM(IF('Bobot CPMK'!$B$4='Peta CPL'!$A$18,N(D32)*'Bobot CPMK'!$P$4,0),IF('Bobot CPMK'!$B$5='Peta CPL'!$A$18,N(E32)*'Bobot CPMK'!$P$5,0),IF('Bobot CPMK'!$B$6='Peta CPL'!$A$18,N(F32)*'Bobot CPMK'!$P$6,0),IF('Bobot CPMK'!$B$7='Peta CPL'!$A$18,N(G32)*'Bobot CPMK'!$P$7,0),IF('Bobot CPMK'!$B$8='Peta CPL'!$A$18,N(H32)*'Bobot CPMK'!$P$8,0),IF('Bobot CPMK'!$B$9='Peta CPL'!$A$18,N(I32)*'Bobot CPMK'!$P$9,0),IF('Bobot CPMK'!$B$10='Peta CPL'!$A$18,N(J32)*'Bobot CPMK'!$P$10,0),IF('Bobot CPMK'!$B$11='Peta CPL'!$A$18,N(K32)*'Bobot CPMK'!$P$11,0))/SUM(IF('Bobot CPMK'!$B$4='Peta CPL'!$A$18,'Bobot CPMK'!$P$4,0),IF('Bobot CPMK'!$B$5='Peta CPL'!$A$18,'Bobot CPMK'!$P$5,0),IF('Bobot CPMK'!$B$6='Peta CPL'!$A$18,'Bobot CPMK'!$P$6,0),IF('Bobot CPMK'!$B$7='Peta CPL'!$A$18,'Bobot CPMK'!$P$7,0),IF('Bobot CPMK'!$B$8='Peta CPL'!$A$18,'Bobot CPMK'!$P$8,0),IF('Bobot CPMK'!$B$9='Peta CPL'!$A$18,'Bobot CPMK'!$P$9,0),IF('Bobot CPMK'!$B$10='Peta CPL'!$A$18,'Bobot CPMK'!$P$10,0),IF('Bobot CPMK'!$B$11='Peta CPL'!$A$18,'Bobot CPMK'!$P$11,0)),""))</f>
        <v/>
      </c>
      <c r="Q32" s="7">
        <f>IF(OR($B32="",'Peta CPL'!$A$19=""),"",IFERROR(SUM(IF('Bobot CPMK'!$B$4='Peta CPL'!$A$19,N(D32)*'Bobot CPMK'!$P$4,0),IF('Bobot CPMK'!$B$5='Peta CPL'!$A$19,N(E32)*'Bobot CPMK'!$P$5,0),IF('Bobot CPMK'!$B$6='Peta CPL'!$A$19,N(F32)*'Bobot CPMK'!$P$6,0),IF('Bobot CPMK'!$B$7='Peta CPL'!$A$19,N(G32)*'Bobot CPMK'!$P$7,0),IF('Bobot CPMK'!$B$8='Peta CPL'!$A$19,N(H32)*'Bobot CPMK'!$P$8,0),IF('Bobot CPMK'!$B$9='Peta CPL'!$A$19,N(I32)*'Bobot CPMK'!$P$9,0),IF('Bobot CPMK'!$B$10='Peta CPL'!$A$19,N(J32)*'Bobot CPMK'!$P$10,0),IF('Bobot CPMK'!$B$11='Peta CPL'!$A$19,N(K32)*'Bobot CPMK'!$P$11,0))/SUM(IF('Bobot CPMK'!$B$4='Peta CPL'!$A$19,'Bobot CPMK'!$P$4,0),IF('Bobot CPMK'!$B$5='Peta CPL'!$A$19,'Bobot CPMK'!$P$5,0),IF('Bobot CPMK'!$B$6='Peta CPL'!$A$19,'Bobot CPMK'!$P$6,0),IF('Bobot CPMK'!$B$7='Peta CPL'!$A$19,'Bobot CPMK'!$P$7,0),IF('Bobot CPMK'!$B$8='Peta CPL'!$A$19,'Bobot CPMK'!$P$8,0),IF('Bobot CPMK'!$B$9='Peta CPL'!$A$19,'Bobot CPMK'!$P$9,0),IF('Bobot CPMK'!$B$10='Peta CPL'!$A$19,'Bobot CPMK'!$P$10,0),IF('Bobot CPMK'!$B$11='Peta CPL'!$A$19,'Bobot CPMK'!$P$11,0)),""))</f>
        <v/>
      </c>
      <c r="R32" s="7">
        <f>IF(OR($B32="",'Peta CPL'!$A$20=""),"",IFERROR(SUM(IF('Bobot CPMK'!$B$4='Peta CPL'!$A$20,N(D32)*'Bobot CPMK'!$P$4,0),IF('Bobot CPMK'!$B$5='Peta CPL'!$A$20,N(E32)*'Bobot CPMK'!$P$5,0),IF('Bobot CPMK'!$B$6='Peta CPL'!$A$20,N(F32)*'Bobot CPMK'!$P$6,0),IF('Bobot CPMK'!$B$7='Peta CPL'!$A$20,N(G32)*'Bobot CPMK'!$P$7,0),IF('Bobot CPMK'!$B$8='Peta CPL'!$A$20,N(H32)*'Bobot CPMK'!$P$8,0),IF('Bobot CPMK'!$B$9='Peta CPL'!$A$20,N(I32)*'Bobot CPMK'!$P$9,0),IF('Bobot CPMK'!$B$10='Peta CPL'!$A$20,N(J32)*'Bobot CPMK'!$P$10,0),IF('Bobot CPMK'!$B$11='Peta CPL'!$A$20,N(K32)*'Bobot CPMK'!$P$11,0))/SUM(IF('Bobot CPMK'!$B$4='Peta CPL'!$A$20,'Bobot CPMK'!$P$4,0),IF('Bobot CPMK'!$B$5='Peta CPL'!$A$20,'Bobot CPMK'!$P$5,0),IF('Bobot CPMK'!$B$6='Peta CPL'!$A$20,'Bobot CPMK'!$P$6,0),IF('Bobot CPMK'!$B$7='Peta CPL'!$A$20,'Bobot CPMK'!$P$7,0),IF('Bobot CPMK'!$B$8='Peta CPL'!$A$20,'Bobot CPMK'!$P$8,0),IF('Bobot CPMK'!$B$9='Peta CPL'!$A$20,'Bobot CPMK'!$P$9,0),IF('Bobot CPMK'!$B$10='Peta CPL'!$A$20,'Bobot CPMK'!$P$10,0),IF('Bobot CPMK'!$B$11='Peta CPL'!$A$20,'Bobot CPMK'!$P$11,0)),""))</f>
        <v/>
      </c>
      <c r="S32" s="7">
        <f>IF(OR($B32="",'Peta CPL'!$A$21=""),"",IFERROR(SUM(IF('Bobot CPMK'!$B$4='Peta CPL'!$A$21,N(D32)*'Bobot CPMK'!$P$4,0),IF('Bobot CPMK'!$B$5='Peta CPL'!$A$21,N(E32)*'Bobot CPMK'!$P$5,0),IF('Bobot CPMK'!$B$6='Peta CPL'!$A$21,N(F32)*'Bobot CPMK'!$P$6,0),IF('Bobot CPMK'!$B$7='Peta CPL'!$A$21,N(G32)*'Bobot CPMK'!$P$7,0),IF('Bobot CPMK'!$B$8='Peta CPL'!$A$21,N(H32)*'Bobot CPMK'!$P$8,0),IF('Bobot CPMK'!$B$9='Peta CPL'!$A$21,N(I32)*'Bobot CPMK'!$P$9,0),IF('Bobot CPMK'!$B$10='Peta CPL'!$A$21,N(J32)*'Bobot CPMK'!$P$10,0),IF('Bobot CPMK'!$B$11='Peta CPL'!$A$21,N(K32)*'Bobot CPMK'!$P$11,0))/SUM(IF('Bobot CPMK'!$B$4='Peta CPL'!$A$21,'Bobot CPMK'!$P$4,0),IF('Bobot CPMK'!$B$5='Peta CPL'!$A$21,'Bobot CPMK'!$P$5,0),IF('Bobot CPMK'!$B$6='Peta CPL'!$A$21,'Bobot CPMK'!$P$6,0),IF('Bobot CPMK'!$B$7='Peta CPL'!$A$21,'Bobot CPMK'!$P$7,0),IF('Bobot CPMK'!$B$8='Peta CPL'!$A$21,'Bobot CPMK'!$P$8,0),IF('Bobot CPMK'!$B$9='Peta CPL'!$A$21,'Bobot CPMK'!$P$9,0),IF('Bobot CPMK'!$B$10='Peta CPL'!$A$21,'Bobot CPMK'!$P$10,0),IF('Bobot CPMK'!$B$11='Peta CPL'!$A$21,'Bobot CPMK'!$P$11,0)),""))</f>
        <v/>
      </c>
      <c r="T32" s="7">
        <f>IF(OR($B32="",'Peta CPL'!$A$5=""),"",IFERROR((N(L32)*N('Peta CPL'!$C$14)*N('Peta CPL'!$D$14)+N(M32)*N('Peta CPL'!$C$15)*N('Peta CPL'!$D$15)+N(N32)*N('Peta CPL'!$C$16)*N('Peta CPL'!$D$16)+N(O32)*N('Peta CPL'!$C$17)*N('Peta CPL'!$D$17)+N(P32)*N('Peta CPL'!$C$18)*N('Peta CPL'!$D$18)+N(Q32)*N('Peta CPL'!$C$19)*N('Peta CPL'!$D$19)+N(R32)*N('Peta CPL'!$C$20)*N('Peta CPL'!$D$20)+N(S32)*N('Peta CPL'!$C$21)*N('Peta CPL'!$D$21))/(N('Peta CPL'!$C$14)*N('Peta CPL'!$D$14)+N('Peta CPL'!$C$15)*N('Peta CPL'!$D$15)+N('Peta CPL'!$C$16)*N('Peta CPL'!$D$16)+N('Peta CPL'!$C$17)*N('Peta CPL'!$D$17)+N('Peta CPL'!$C$18)*N('Peta CPL'!$D$18)+N('Peta CPL'!$C$19)*N('Peta CPL'!$D$19)+N('Peta CPL'!$C$20)*N('Peta CPL'!$D$20)+N('Peta CPL'!$C$21)*N('Peta CPL'!$D$21)),""))</f>
        <v/>
      </c>
      <c r="U32" s="7">
        <f>IF(OR($B32="",'Peta CPL'!$A$6=""),"",IFERROR((N(L32)*N('Peta CPL'!$C$14)*N('Peta CPL'!$E$14)+N(M32)*N('Peta CPL'!$C$15)*N('Peta CPL'!$E$15)+N(N32)*N('Peta CPL'!$C$16)*N('Peta CPL'!$E$16)+N(O32)*N('Peta CPL'!$C$17)*N('Peta CPL'!$E$17)+N(P32)*N('Peta CPL'!$C$18)*N('Peta CPL'!$E$18)+N(Q32)*N('Peta CPL'!$C$19)*N('Peta CPL'!$E$19)+N(R32)*N('Peta CPL'!$C$20)*N('Peta CPL'!$E$20)+N(S32)*N('Peta CPL'!$C$21)*N('Peta CPL'!$E$21))/(N('Peta CPL'!$C$14)*N('Peta CPL'!$E$14)+N('Peta CPL'!$C$15)*N('Peta CPL'!$E$15)+N('Peta CPL'!$C$16)*N('Peta CPL'!$E$16)+N('Peta CPL'!$C$17)*N('Peta CPL'!$E$17)+N('Peta CPL'!$C$18)*N('Peta CPL'!$E$18)+N('Peta CPL'!$C$19)*N('Peta CPL'!$E$19)+N('Peta CPL'!$C$20)*N('Peta CPL'!$E$20)+N('Peta CPL'!$C$21)*N('Peta CPL'!$E$21)),""))</f>
        <v/>
      </c>
      <c r="V32" s="7">
        <f>IF(OR($B32="",'Peta CPL'!$A$7=""),"",IFERROR((N(L32)*N('Peta CPL'!$C$14)*N('Peta CPL'!$F$14)+N(M32)*N('Peta CPL'!$C$15)*N('Peta CPL'!$F$15)+N(N32)*N('Peta CPL'!$C$16)*N('Peta CPL'!$F$16)+N(O32)*N('Peta CPL'!$C$17)*N('Peta CPL'!$F$17)+N(P32)*N('Peta CPL'!$C$18)*N('Peta CPL'!$F$18)+N(Q32)*N('Peta CPL'!$C$19)*N('Peta CPL'!$F$19)+N(R32)*N('Peta CPL'!$C$20)*N('Peta CPL'!$F$20)+N(S32)*N('Peta CPL'!$C$21)*N('Peta CPL'!$F$21))/(N('Peta CPL'!$C$14)*N('Peta CPL'!$F$14)+N('Peta CPL'!$C$15)*N('Peta CPL'!$F$15)+N('Peta CPL'!$C$16)*N('Peta CPL'!$F$16)+N('Peta CPL'!$C$17)*N('Peta CPL'!$F$17)+N('Peta CPL'!$C$18)*N('Peta CPL'!$F$18)+N('Peta CPL'!$C$19)*N('Peta CPL'!$F$19)+N('Peta CPL'!$C$20)*N('Peta CPL'!$F$20)+N('Peta CPL'!$C$21)*N('Peta CPL'!$F$21)),""))</f>
        <v/>
      </c>
      <c r="W32" s="7">
        <f>IF(OR($B32="",'Peta CPL'!$A$8=""),"",IFERROR((N(L32)*N('Peta CPL'!$C$14)*N('Peta CPL'!$G$14)+N(M32)*N('Peta CPL'!$C$15)*N('Peta CPL'!$G$15)+N(N32)*N('Peta CPL'!$C$16)*N('Peta CPL'!$G$16)+N(O32)*N('Peta CPL'!$C$17)*N('Peta CPL'!$G$17)+N(P32)*N('Peta CPL'!$C$18)*N('Peta CPL'!$G$18)+N(Q32)*N('Peta CPL'!$C$19)*N('Peta CPL'!$G$19)+N(R32)*N('Peta CPL'!$C$20)*N('Peta CPL'!$G$20)+N(S32)*N('Peta CPL'!$C$21)*N('Peta CPL'!$G$21))/(N('Peta CPL'!$C$14)*N('Peta CPL'!$G$14)+N('Peta CPL'!$C$15)*N('Peta CPL'!$G$15)+N('Peta CPL'!$C$16)*N('Peta CPL'!$G$16)+N('Peta CPL'!$C$17)*N('Peta CPL'!$G$17)+N('Peta CPL'!$C$18)*N('Peta CPL'!$G$18)+N('Peta CPL'!$C$19)*N('Peta CPL'!$G$19)+N('Peta CPL'!$C$20)*N('Peta CPL'!$G$20)+N('Peta CPL'!$C$21)*N('Peta CPL'!$G$21)),""))</f>
        <v/>
      </c>
      <c r="X32" s="7">
        <f>IF(OR($B32="",'Peta CPL'!$A$9=""),"",IFERROR((N(L32)*N('Peta CPL'!$C$14)*N('Peta CPL'!$H$14)+N(M32)*N('Peta CPL'!$C$15)*N('Peta CPL'!$H$15)+N(N32)*N('Peta CPL'!$C$16)*N('Peta CPL'!$H$16)+N(O32)*N('Peta CPL'!$C$17)*N('Peta CPL'!$H$17)+N(P32)*N('Peta CPL'!$C$18)*N('Peta CPL'!$H$18)+N(Q32)*N('Peta CPL'!$C$19)*N('Peta CPL'!$H$19)+N(R32)*N('Peta CPL'!$C$20)*N('Peta CPL'!$H$20)+N(S32)*N('Peta CPL'!$C$21)*N('Peta CPL'!$H$21))/(N('Peta CPL'!$C$14)*N('Peta CPL'!$H$14)+N('Peta CPL'!$C$15)*N('Peta CPL'!$H$15)+N('Peta CPL'!$C$16)*N('Peta CPL'!$H$16)+N('Peta CPL'!$C$17)*N('Peta CPL'!$H$17)+N('Peta CPL'!$C$18)*N('Peta CPL'!$H$18)+N('Peta CPL'!$C$19)*N('Peta CPL'!$H$19)+N('Peta CPL'!$C$20)*N('Peta CPL'!$H$20)+N('Peta CPL'!$C$21)*N('Peta CPL'!$H$21)),""))</f>
        <v/>
      </c>
      <c r="Y32" s="7">
        <f>IF(OR($B32="",'Peta CPL'!$A$10=""),"",IFERROR((N(L32)*N('Peta CPL'!$C$14)*N('Peta CPL'!$I$14)+N(M32)*N('Peta CPL'!$C$15)*N('Peta CPL'!$I$15)+N(N32)*N('Peta CPL'!$C$16)*N('Peta CPL'!$I$16)+N(O32)*N('Peta CPL'!$C$17)*N('Peta CPL'!$I$17)+N(P32)*N('Peta CPL'!$C$18)*N('Peta CPL'!$I$18)+N(Q32)*N('Peta CPL'!$C$19)*N('Peta CPL'!$I$19)+N(R32)*N('Peta CPL'!$C$20)*N('Peta CPL'!$I$20)+N(S32)*N('Peta CPL'!$C$21)*N('Peta CPL'!$I$21))/(N('Peta CPL'!$C$14)*N('Peta CPL'!$I$14)+N('Peta CPL'!$C$15)*N('Peta CPL'!$I$15)+N('Peta CPL'!$C$16)*N('Peta CPL'!$I$16)+N('Peta CPL'!$C$17)*N('Peta CPL'!$I$17)+N('Peta CPL'!$C$18)*N('Peta CPL'!$I$18)+N('Peta CPL'!$C$19)*N('Peta CPL'!$I$19)+N('Peta CPL'!$C$20)*N('Peta CPL'!$I$20)+N('Peta CPL'!$C$21)*N('Peta CPL'!$I$21)),""))</f>
        <v/>
      </c>
      <c r="Z32" s="7">
        <f>IF($B32="","",IFERROR((N(L32)*N('Peta CPL'!$C$14)+N(M32)*N('Peta CPL'!$C$15)+N(N32)*N('Peta CPL'!$C$16)+N(O32)*N('Peta CPL'!$C$17)+N(P32)*N('Peta CPL'!$C$18)+N(Q32)*N('Peta CPL'!$C$19)+N(R32)*N('Peta CPL'!$C$20)+N(S32)*N('Peta CPL'!$C$21))/100,""))</f>
        <v/>
      </c>
    </row>
    <row r="33">
      <c r="A33" s="7">
        <f>'Input Nilai'!A33</f>
        <v/>
      </c>
      <c r="B33" s="7">
        <f>'Input Nilai'!B33</f>
        <v/>
      </c>
      <c r="C33" s="15">
        <f>'Input Nilai'!C33</f>
        <v/>
      </c>
      <c r="D33" s="7">
        <f>IF(OR('Input Nilai'!$B33="",'Bobot CPMK'!$O$4=0),"",(SUMPRODUCT('Input Nilai'!D33:L33,'Bobot CPMK'!$E$4:$M$4)+'Input Nilai'!$BX33*'Bobot CPMK'!$N$4)/'Bobot CPMK'!$O$4)</f>
        <v/>
      </c>
      <c r="E33" s="7">
        <f>IF(OR('Input Nilai'!$B33="",'Bobot CPMK'!$O$5=0),"",(SUMPRODUCT('Input Nilai'!M33:U33,'Bobot CPMK'!$E$5:$M$5)+'Input Nilai'!$BX33*'Bobot CPMK'!$N$5)/'Bobot CPMK'!$O$5)</f>
        <v/>
      </c>
      <c r="F33" s="7">
        <f>IF(OR('Input Nilai'!$B33="",'Bobot CPMK'!$O$6=0),"",(SUMPRODUCT('Input Nilai'!V33:AD33,'Bobot CPMK'!$E$6:$M$6)+'Input Nilai'!$BX33*'Bobot CPMK'!$N$6)/'Bobot CPMK'!$O$6)</f>
        <v/>
      </c>
      <c r="G33" s="7">
        <f>IF(OR('Input Nilai'!$B33="",'Bobot CPMK'!$O$7=0),"",(SUMPRODUCT('Input Nilai'!AE33:AM33,'Bobot CPMK'!$E$7:$M$7)+'Input Nilai'!$BX33*'Bobot CPMK'!$N$7)/'Bobot CPMK'!$O$7)</f>
        <v/>
      </c>
      <c r="H33" s="7">
        <f>IF(OR('Input Nilai'!$B33="",'Bobot CPMK'!$O$8=0),"",(SUMPRODUCT('Input Nilai'!AN33:AV33,'Bobot CPMK'!$E$8:$M$8)+'Input Nilai'!$BX33*'Bobot CPMK'!$N$8)/'Bobot CPMK'!$O$8)</f>
        <v/>
      </c>
      <c r="I33" s="7">
        <f>IF(OR('Input Nilai'!$B33="",'Bobot CPMK'!$O$9=0),"",(SUMPRODUCT('Input Nilai'!AW33:BE33,'Bobot CPMK'!$E$9:$M$9)+'Input Nilai'!$BX33*'Bobot CPMK'!$N$9)/'Bobot CPMK'!$O$9)</f>
        <v/>
      </c>
      <c r="J33" s="7">
        <f>IF(OR('Input Nilai'!$B33="",'Bobot CPMK'!$O$10=0),"",(SUMPRODUCT('Input Nilai'!BF33:BN33,'Bobot CPMK'!$E$10:$M$10)+'Input Nilai'!$BX33*'Bobot CPMK'!$N$10)/'Bobot CPMK'!$O$10)</f>
        <v/>
      </c>
      <c r="K33" s="7">
        <f>IF(OR('Input Nilai'!$B33="",'Bobot CPMK'!$O$11=0),"",(SUMPRODUCT('Input Nilai'!BO33:BW33,'Bobot CPMK'!$E$11:$M$11)+'Input Nilai'!$BX33*'Bobot CPMK'!$N$11)/'Bobot CPMK'!$O$11)</f>
        <v/>
      </c>
      <c r="L33" s="7">
        <f>IF(OR($B33="",'Peta CPL'!$A$14=""),"",IFERROR(SUM(IF('Bobot CPMK'!$B$4='Peta CPL'!$A$14,N(D33)*'Bobot CPMK'!$P$4,0),IF('Bobot CPMK'!$B$5='Peta CPL'!$A$14,N(E33)*'Bobot CPMK'!$P$5,0),IF('Bobot CPMK'!$B$6='Peta CPL'!$A$14,N(F33)*'Bobot CPMK'!$P$6,0),IF('Bobot CPMK'!$B$7='Peta CPL'!$A$14,N(G33)*'Bobot CPMK'!$P$7,0),IF('Bobot CPMK'!$B$8='Peta CPL'!$A$14,N(H33)*'Bobot CPMK'!$P$8,0),IF('Bobot CPMK'!$B$9='Peta CPL'!$A$14,N(I33)*'Bobot CPMK'!$P$9,0),IF('Bobot CPMK'!$B$10='Peta CPL'!$A$14,N(J33)*'Bobot CPMK'!$P$10,0),IF('Bobot CPMK'!$B$11='Peta CPL'!$A$14,N(K33)*'Bobot CPMK'!$P$11,0))/SUM(IF('Bobot CPMK'!$B$4='Peta CPL'!$A$14,'Bobot CPMK'!$P$4,0),IF('Bobot CPMK'!$B$5='Peta CPL'!$A$14,'Bobot CPMK'!$P$5,0),IF('Bobot CPMK'!$B$6='Peta CPL'!$A$14,'Bobot CPMK'!$P$6,0),IF('Bobot CPMK'!$B$7='Peta CPL'!$A$14,'Bobot CPMK'!$P$7,0),IF('Bobot CPMK'!$B$8='Peta CPL'!$A$14,'Bobot CPMK'!$P$8,0),IF('Bobot CPMK'!$B$9='Peta CPL'!$A$14,'Bobot CPMK'!$P$9,0),IF('Bobot CPMK'!$B$10='Peta CPL'!$A$14,'Bobot CPMK'!$P$10,0),IF('Bobot CPMK'!$B$11='Peta CPL'!$A$14,'Bobot CPMK'!$P$11,0)),""))</f>
        <v/>
      </c>
      <c r="M33" s="7">
        <f>IF(OR($B33="",'Peta CPL'!$A$15=""),"",IFERROR(SUM(IF('Bobot CPMK'!$B$4='Peta CPL'!$A$15,N(D33)*'Bobot CPMK'!$P$4,0),IF('Bobot CPMK'!$B$5='Peta CPL'!$A$15,N(E33)*'Bobot CPMK'!$P$5,0),IF('Bobot CPMK'!$B$6='Peta CPL'!$A$15,N(F33)*'Bobot CPMK'!$P$6,0),IF('Bobot CPMK'!$B$7='Peta CPL'!$A$15,N(G33)*'Bobot CPMK'!$P$7,0),IF('Bobot CPMK'!$B$8='Peta CPL'!$A$15,N(H33)*'Bobot CPMK'!$P$8,0),IF('Bobot CPMK'!$B$9='Peta CPL'!$A$15,N(I33)*'Bobot CPMK'!$P$9,0),IF('Bobot CPMK'!$B$10='Peta CPL'!$A$15,N(J33)*'Bobot CPMK'!$P$10,0),IF('Bobot CPMK'!$B$11='Peta CPL'!$A$15,N(K33)*'Bobot CPMK'!$P$11,0))/SUM(IF('Bobot CPMK'!$B$4='Peta CPL'!$A$15,'Bobot CPMK'!$P$4,0),IF('Bobot CPMK'!$B$5='Peta CPL'!$A$15,'Bobot CPMK'!$P$5,0),IF('Bobot CPMK'!$B$6='Peta CPL'!$A$15,'Bobot CPMK'!$P$6,0),IF('Bobot CPMK'!$B$7='Peta CPL'!$A$15,'Bobot CPMK'!$P$7,0),IF('Bobot CPMK'!$B$8='Peta CPL'!$A$15,'Bobot CPMK'!$P$8,0),IF('Bobot CPMK'!$B$9='Peta CPL'!$A$15,'Bobot CPMK'!$P$9,0),IF('Bobot CPMK'!$B$10='Peta CPL'!$A$15,'Bobot CPMK'!$P$10,0),IF('Bobot CPMK'!$B$11='Peta CPL'!$A$15,'Bobot CPMK'!$P$11,0)),""))</f>
        <v/>
      </c>
      <c r="N33" s="7">
        <f>IF(OR($B33="",'Peta CPL'!$A$16=""),"",IFERROR(SUM(IF('Bobot CPMK'!$B$4='Peta CPL'!$A$16,N(D33)*'Bobot CPMK'!$P$4,0),IF('Bobot CPMK'!$B$5='Peta CPL'!$A$16,N(E33)*'Bobot CPMK'!$P$5,0),IF('Bobot CPMK'!$B$6='Peta CPL'!$A$16,N(F33)*'Bobot CPMK'!$P$6,0),IF('Bobot CPMK'!$B$7='Peta CPL'!$A$16,N(G33)*'Bobot CPMK'!$P$7,0),IF('Bobot CPMK'!$B$8='Peta CPL'!$A$16,N(H33)*'Bobot CPMK'!$P$8,0),IF('Bobot CPMK'!$B$9='Peta CPL'!$A$16,N(I33)*'Bobot CPMK'!$P$9,0),IF('Bobot CPMK'!$B$10='Peta CPL'!$A$16,N(J33)*'Bobot CPMK'!$P$10,0),IF('Bobot CPMK'!$B$11='Peta CPL'!$A$16,N(K33)*'Bobot CPMK'!$P$11,0))/SUM(IF('Bobot CPMK'!$B$4='Peta CPL'!$A$16,'Bobot CPMK'!$P$4,0),IF('Bobot CPMK'!$B$5='Peta CPL'!$A$16,'Bobot CPMK'!$P$5,0),IF('Bobot CPMK'!$B$6='Peta CPL'!$A$16,'Bobot CPMK'!$P$6,0),IF('Bobot CPMK'!$B$7='Peta CPL'!$A$16,'Bobot CPMK'!$P$7,0),IF('Bobot CPMK'!$B$8='Peta CPL'!$A$16,'Bobot CPMK'!$P$8,0),IF('Bobot CPMK'!$B$9='Peta CPL'!$A$16,'Bobot CPMK'!$P$9,0),IF('Bobot CPMK'!$B$10='Peta CPL'!$A$16,'Bobot CPMK'!$P$10,0),IF('Bobot CPMK'!$B$11='Peta CPL'!$A$16,'Bobot CPMK'!$P$11,0)),""))</f>
        <v/>
      </c>
      <c r="O33" s="7">
        <f>IF(OR($B33="",'Peta CPL'!$A$17=""),"",IFERROR(SUM(IF('Bobot CPMK'!$B$4='Peta CPL'!$A$17,N(D33)*'Bobot CPMK'!$P$4,0),IF('Bobot CPMK'!$B$5='Peta CPL'!$A$17,N(E33)*'Bobot CPMK'!$P$5,0),IF('Bobot CPMK'!$B$6='Peta CPL'!$A$17,N(F33)*'Bobot CPMK'!$P$6,0),IF('Bobot CPMK'!$B$7='Peta CPL'!$A$17,N(G33)*'Bobot CPMK'!$P$7,0),IF('Bobot CPMK'!$B$8='Peta CPL'!$A$17,N(H33)*'Bobot CPMK'!$P$8,0),IF('Bobot CPMK'!$B$9='Peta CPL'!$A$17,N(I33)*'Bobot CPMK'!$P$9,0),IF('Bobot CPMK'!$B$10='Peta CPL'!$A$17,N(J33)*'Bobot CPMK'!$P$10,0),IF('Bobot CPMK'!$B$11='Peta CPL'!$A$17,N(K33)*'Bobot CPMK'!$P$11,0))/SUM(IF('Bobot CPMK'!$B$4='Peta CPL'!$A$17,'Bobot CPMK'!$P$4,0),IF('Bobot CPMK'!$B$5='Peta CPL'!$A$17,'Bobot CPMK'!$P$5,0),IF('Bobot CPMK'!$B$6='Peta CPL'!$A$17,'Bobot CPMK'!$P$6,0),IF('Bobot CPMK'!$B$7='Peta CPL'!$A$17,'Bobot CPMK'!$P$7,0),IF('Bobot CPMK'!$B$8='Peta CPL'!$A$17,'Bobot CPMK'!$P$8,0),IF('Bobot CPMK'!$B$9='Peta CPL'!$A$17,'Bobot CPMK'!$P$9,0),IF('Bobot CPMK'!$B$10='Peta CPL'!$A$17,'Bobot CPMK'!$P$10,0),IF('Bobot CPMK'!$B$11='Peta CPL'!$A$17,'Bobot CPMK'!$P$11,0)),""))</f>
        <v/>
      </c>
      <c r="P33" s="7">
        <f>IF(OR($B33="",'Peta CPL'!$A$18=""),"",IFERROR(SUM(IF('Bobot CPMK'!$B$4='Peta CPL'!$A$18,N(D33)*'Bobot CPMK'!$P$4,0),IF('Bobot CPMK'!$B$5='Peta CPL'!$A$18,N(E33)*'Bobot CPMK'!$P$5,0),IF('Bobot CPMK'!$B$6='Peta CPL'!$A$18,N(F33)*'Bobot CPMK'!$P$6,0),IF('Bobot CPMK'!$B$7='Peta CPL'!$A$18,N(G33)*'Bobot CPMK'!$P$7,0),IF('Bobot CPMK'!$B$8='Peta CPL'!$A$18,N(H33)*'Bobot CPMK'!$P$8,0),IF('Bobot CPMK'!$B$9='Peta CPL'!$A$18,N(I33)*'Bobot CPMK'!$P$9,0),IF('Bobot CPMK'!$B$10='Peta CPL'!$A$18,N(J33)*'Bobot CPMK'!$P$10,0),IF('Bobot CPMK'!$B$11='Peta CPL'!$A$18,N(K33)*'Bobot CPMK'!$P$11,0))/SUM(IF('Bobot CPMK'!$B$4='Peta CPL'!$A$18,'Bobot CPMK'!$P$4,0),IF('Bobot CPMK'!$B$5='Peta CPL'!$A$18,'Bobot CPMK'!$P$5,0),IF('Bobot CPMK'!$B$6='Peta CPL'!$A$18,'Bobot CPMK'!$P$6,0),IF('Bobot CPMK'!$B$7='Peta CPL'!$A$18,'Bobot CPMK'!$P$7,0),IF('Bobot CPMK'!$B$8='Peta CPL'!$A$18,'Bobot CPMK'!$P$8,0),IF('Bobot CPMK'!$B$9='Peta CPL'!$A$18,'Bobot CPMK'!$P$9,0),IF('Bobot CPMK'!$B$10='Peta CPL'!$A$18,'Bobot CPMK'!$P$10,0),IF('Bobot CPMK'!$B$11='Peta CPL'!$A$18,'Bobot CPMK'!$P$11,0)),""))</f>
        <v/>
      </c>
      <c r="Q33" s="7">
        <f>IF(OR($B33="",'Peta CPL'!$A$19=""),"",IFERROR(SUM(IF('Bobot CPMK'!$B$4='Peta CPL'!$A$19,N(D33)*'Bobot CPMK'!$P$4,0),IF('Bobot CPMK'!$B$5='Peta CPL'!$A$19,N(E33)*'Bobot CPMK'!$P$5,0),IF('Bobot CPMK'!$B$6='Peta CPL'!$A$19,N(F33)*'Bobot CPMK'!$P$6,0),IF('Bobot CPMK'!$B$7='Peta CPL'!$A$19,N(G33)*'Bobot CPMK'!$P$7,0),IF('Bobot CPMK'!$B$8='Peta CPL'!$A$19,N(H33)*'Bobot CPMK'!$P$8,0),IF('Bobot CPMK'!$B$9='Peta CPL'!$A$19,N(I33)*'Bobot CPMK'!$P$9,0),IF('Bobot CPMK'!$B$10='Peta CPL'!$A$19,N(J33)*'Bobot CPMK'!$P$10,0),IF('Bobot CPMK'!$B$11='Peta CPL'!$A$19,N(K33)*'Bobot CPMK'!$P$11,0))/SUM(IF('Bobot CPMK'!$B$4='Peta CPL'!$A$19,'Bobot CPMK'!$P$4,0),IF('Bobot CPMK'!$B$5='Peta CPL'!$A$19,'Bobot CPMK'!$P$5,0),IF('Bobot CPMK'!$B$6='Peta CPL'!$A$19,'Bobot CPMK'!$P$6,0),IF('Bobot CPMK'!$B$7='Peta CPL'!$A$19,'Bobot CPMK'!$P$7,0),IF('Bobot CPMK'!$B$8='Peta CPL'!$A$19,'Bobot CPMK'!$P$8,0),IF('Bobot CPMK'!$B$9='Peta CPL'!$A$19,'Bobot CPMK'!$P$9,0),IF('Bobot CPMK'!$B$10='Peta CPL'!$A$19,'Bobot CPMK'!$P$10,0),IF('Bobot CPMK'!$B$11='Peta CPL'!$A$19,'Bobot CPMK'!$P$11,0)),""))</f>
        <v/>
      </c>
      <c r="R33" s="7">
        <f>IF(OR($B33="",'Peta CPL'!$A$20=""),"",IFERROR(SUM(IF('Bobot CPMK'!$B$4='Peta CPL'!$A$20,N(D33)*'Bobot CPMK'!$P$4,0),IF('Bobot CPMK'!$B$5='Peta CPL'!$A$20,N(E33)*'Bobot CPMK'!$P$5,0),IF('Bobot CPMK'!$B$6='Peta CPL'!$A$20,N(F33)*'Bobot CPMK'!$P$6,0),IF('Bobot CPMK'!$B$7='Peta CPL'!$A$20,N(G33)*'Bobot CPMK'!$P$7,0),IF('Bobot CPMK'!$B$8='Peta CPL'!$A$20,N(H33)*'Bobot CPMK'!$P$8,0),IF('Bobot CPMK'!$B$9='Peta CPL'!$A$20,N(I33)*'Bobot CPMK'!$P$9,0),IF('Bobot CPMK'!$B$10='Peta CPL'!$A$20,N(J33)*'Bobot CPMK'!$P$10,0),IF('Bobot CPMK'!$B$11='Peta CPL'!$A$20,N(K33)*'Bobot CPMK'!$P$11,0))/SUM(IF('Bobot CPMK'!$B$4='Peta CPL'!$A$20,'Bobot CPMK'!$P$4,0),IF('Bobot CPMK'!$B$5='Peta CPL'!$A$20,'Bobot CPMK'!$P$5,0),IF('Bobot CPMK'!$B$6='Peta CPL'!$A$20,'Bobot CPMK'!$P$6,0),IF('Bobot CPMK'!$B$7='Peta CPL'!$A$20,'Bobot CPMK'!$P$7,0),IF('Bobot CPMK'!$B$8='Peta CPL'!$A$20,'Bobot CPMK'!$P$8,0),IF('Bobot CPMK'!$B$9='Peta CPL'!$A$20,'Bobot CPMK'!$P$9,0),IF('Bobot CPMK'!$B$10='Peta CPL'!$A$20,'Bobot CPMK'!$P$10,0),IF('Bobot CPMK'!$B$11='Peta CPL'!$A$20,'Bobot CPMK'!$P$11,0)),""))</f>
        <v/>
      </c>
      <c r="S33" s="7">
        <f>IF(OR($B33="",'Peta CPL'!$A$21=""),"",IFERROR(SUM(IF('Bobot CPMK'!$B$4='Peta CPL'!$A$21,N(D33)*'Bobot CPMK'!$P$4,0),IF('Bobot CPMK'!$B$5='Peta CPL'!$A$21,N(E33)*'Bobot CPMK'!$P$5,0),IF('Bobot CPMK'!$B$6='Peta CPL'!$A$21,N(F33)*'Bobot CPMK'!$P$6,0),IF('Bobot CPMK'!$B$7='Peta CPL'!$A$21,N(G33)*'Bobot CPMK'!$P$7,0),IF('Bobot CPMK'!$B$8='Peta CPL'!$A$21,N(H33)*'Bobot CPMK'!$P$8,0),IF('Bobot CPMK'!$B$9='Peta CPL'!$A$21,N(I33)*'Bobot CPMK'!$P$9,0),IF('Bobot CPMK'!$B$10='Peta CPL'!$A$21,N(J33)*'Bobot CPMK'!$P$10,0),IF('Bobot CPMK'!$B$11='Peta CPL'!$A$21,N(K33)*'Bobot CPMK'!$P$11,0))/SUM(IF('Bobot CPMK'!$B$4='Peta CPL'!$A$21,'Bobot CPMK'!$P$4,0),IF('Bobot CPMK'!$B$5='Peta CPL'!$A$21,'Bobot CPMK'!$P$5,0),IF('Bobot CPMK'!$B$6='Peta CPL'!$A$21,'Bobot CPMK'!$P$6,0),IF('Bobot CPMK'!$B$7='Peta CPL'!$A$21,'Bobot CPMK'!$P$7,0),IF('Bobot CPMK'!$B$8='Peta CPL'!$A$21,'Bobot CPMK'!$P$8,0),IF('Bobot CPMK'!$B$9='Peta CPL'!$A$21,'Bobot CPMK'!$P$9,0),IF('Bobot CPMK'!$B$10='Peta CPL'!$A$21,'Bobot CPMK'!$P$10,0),IF('Bobot CPMK'!$B$11='Peta CPL'!$A$21,'Bobot CPMK'!$P$11,0)),""))</f>
        <v/>
      </c>
      <c r="T33" s="7">
        <f>IF(OR($B33="",'Peta CPL'!$A$5=""),"",IFERROR((N(L33)*N('Peta CPL'!$C$14)*N('Peta CPL'!$D$14)+N(M33)*N('Peta CPL'!$C$15)*N('Peta CPL'!$D$15)+N(N33)*N('Peta CPL'!$C$16)*N('Peta CPL'!$D$16)+N(O33)*N('Peta CPL'!$C$17)*N('Peta CPL'!$D$17)+N(P33)*N('Peta CPL'!$C$18)*N('Peta CPL'!$D$18)+N(Q33)*N('Peta CPL'!$C$19)*N('Peta CPL'!$D$19)+N(R33)*N('Peta CPL'!$C$20)*N('Peta CPL'!$D$20)+N(S33)*N('Peta CPL'!$C$21)*N('Peta CPL'!$D$21))/(N('Peta CPL'!$C$14)*N('Peta CPL'!$D$14)+N('Peta CPL'!$C$15)*N('Peta CPL'!$D$15)+N('Peta CPL'!$C$16)*N('Peta CPL'!$D$16)+N('Peta CPL'!$C$17)*N('Peta CPL'!$D$17)+N('Peta CPL'!$C$18)*N('Peta CPL'!$D$18)+N('Peta CPL'!$C$19)*N('Peta CPL'!$D$19)+N('Peta CPL'!$C$20)*N('Peta CPL'!$D$20)+N('Peta CPL'!$C$21)*N('Peta CPL'!$D$21)),""))</f>
        <v/>
      </c>
      <c r="U33" s="7">
        <f>IF(OR($B33="",'Peta CPL'!$A$6=""),"",IFERROR((N(L33)*N('Peta CPL'!$C$14)*N('Peta CPL'!$E$14)+N(M33)*N('Peta CPL'!$C$15)*N('Peta CPL'!$E$15)+N(N33)*N('Peta CPL'!$C$16)*N('Peta CPL'!$E$16)+N(O33)*N('Peta CPL'!$C$17)*N('Peta CPL'!$E$17)+N(P33)*N('Peta CPL'!$C$18)*N('Peta CPL'!$E$18)+N(Q33)*N('Peta CPL'!$C$19)*N('Peta CPL'!$E$19)+N(R33)*N('Peta CPL'!$C$20)*N('Peta CPL'!$E$20)+N(S33)*N('Peta CPL'!$C$21)*N('Peta CPL'!$E$21))/(N('Peta CPL'!$C$14)*N('Peta CPL'!$E$14)+N('Peta CPL'!$C$15)*N('Peta CPL'!$E$15)+N('Peta CPL'!$C$16)*N('Peta CPL'!$E$16)+N('Peta CPL'!$C$17)*N('Peta CPL'!$E$17)+N('Peta CPL'!$C$18)*N('Peta CPL'!$E$18)+N('Peta CPL'!$C$19)*N('Peta CPL'!$E$19)+N('Peta CPL'!$C$20)*N('Peta CPL'!$E$20)+N('Peta CPL'!$C$21)*N('Peta CPL'!$E$21)),""))</f>
        <v/>
      </c>
      <c r="V33" s="7">
        <f>IF(OR($B33="",'Peta CPL'!$A$7=""),"",IFERROR((N(L33)*N('Peta CPL'!$C$14)*N('Peta CPL'!$F$14)+N(M33)*N('Peta CPL'!$C$15)*N('Peta CPL'!$F$15)+N(N33)*N('Peta CPL'!$C$16)*N('Peta CPL'!$F$16)+N(O33)*N('Peta CPL'!$C$17)*N('Peta CPL'!$F$17)+N(P33)*N('Peta CPL'!$C$18)*N('Peta CPL'!$F$18)+N(Q33)*N('Peta CPL'!$C$19)*N('Peta CPL'!$F$19)+N(R33)*N('Peta CPL'!$C$20)*N('Peta CPL'!$F$20)+N(S33)*N('Peta CPL'!$C$21)*N('Peta CPL'!$F$21))/(N('Peta CPL'!$C$14)*N('Peta CPL'!$F$14)+N('Peta CPL'!$C$15)*N('Peta CPL'!$F$15)+N('Peta CPL'!$C$16)*N('Peta CPL'!$F$16)+N('Peta CPL'!$C$17)*N('Peta CPL'!$F$17)+N('Peta CPL'!$C$18)*N('Peta CPL'!$F$18)+N('Peta CPL'!$C$19)*N('Peta CPL'!$F$19)+N('Peta CPL'!$C$20)*N('Peta CPL'!$F$20)+N('Peta CPL'!$C$21)*N('Peta CPL'!$F$21)),""))</f>
        <v/>
      </c>
      <c r="W33" s="7">
        <f>IF(OR($B33="",'Peta CPL'!$A$8=""),"",IFERROR((N(L33)*N('Peta CPL'!$C$14)*N('Peta CPL'!$G$14)+N(M33)*N('Peta CPL'!$C$15)*N('Peta CPL'!$G$15)+N(N33)*N('Peta CPL'!$C$16)*N('Peta CPL'!$G$16)+N(O33)*N('Peta CPL'!$C$17)*N('Peta CPL'!$G$17)+N(P33)*N('Peta CPL'!$C$18)*N('Peta CPL'!$G$18)+N(Q33)*N('Peta CPL'!$C$19)*N('Peta CPL'!$G$19)+N(R33)*N('Peta CPL'!$C$20)*N('Peta CPL'!$G$20)+N(S33)*N('Peta CPL'!$C$21)*N('Peta CPL'!$G$21))/(N('Peta CPL'!$C$14)*N('Peta CPL'!$G$14)+N('Peta CPL'!$C$15)*N('Peta CPL'!$G$15)+N('Peta CPL'!$C$16)*N('Peta CPL'!$G$16)+N('Peta CPL'!$C$17)*N('Peta CPL'!$G$17)+N('Peta CPL'!$C$18)*N('Peta CPL'!$G$18)+N('Peta CPL'!$C$19)*N('Peta CPL'!$G$19)+N('Peta CPL'!$C$20)*N('Peta CPL'!$G$20)+N('Peta CPL'!$C$21)*N('Peta CPL'!$G$21)),""))</f>
        <v/>
      </c>
      <c r="X33" s="7">
        <f>IF(OR($B33="",'Peta CPL'!$A$9=""),"",IFERROR((N(L33)*N('Peta CPL'!$C$14)*N('Peta CPL'!$H$14)+N(M33)*N('Peta CPL'!$C$15)*N('Peta CPL'!$H$15)+N(N33)*N('Peta CPL'!$C$16)*N('Peta CPL'!$H$16)+N(O33)*N('Peta CPL'!$C$17)*N('Peta CPL'!$H$17)+N(P33)*N('Peta CPL'!$C$18)*N('Peta CPL'!$H$18)+N(Q33)*N('Peta CPL'!$C$19)*N('Peta CPL'!$H$19)+N(R33)*N('Peta CPL'!$C$20)*N('Peta CPL'!$H$20)+N(S33)*N('Peta CPL'!$C$21)*N('Peta CPL'!$H$21))/(N('Peta CPL'!$C$14)*N('Peta CPL'!$H$14)+N('Peta CPL'!$C$15)*N('Peta CPL'!$H$15)+N('Peta CPL'!$C$16)*N('Peta CPL'!$H$16)+N('Peta CPL'!$C$17)*N('Peta CPL'!$H$17)+N('Peta CPL'!$C$18)*N('Peta CPL'!$H$18)+N('Peta CPL'!$C$19)*N('Peta CPL'!$H$19)+N('Peta CPL'!$C$20)*N('Peta CPL'!$H$20)+N('Peta CPL'!$C$21)*N('Peta CPL'!$H$21)),""))</f>
        <v/>
      </c>
      <c r="Y33" s="7">
        <f>IF(OR($B33="",'Peta CPL'!$A$10=""),"",IFERROR((N(L33)*N('Peta CPL'!$C$14)*N('Peta CPL'!$I$14)+N(M33)*N('Peta CPL'!$C$15)*N('Peta CPL'!$I$15)+N(N33)*N('Peta CPL'!$C$16)*N('Peta CPL'!$I$16)+N(O33)*N('Peta CPL'!$C$17)*N('Peta CPL'!$I$17)+N(P33)*N('Peta CPL'!$C$18)*N('Peta CPL'!$I$18)+N(Q33)*N('Peta CPL'!$C$19)*N('Peta CPL'!$I$19)+N(R33)*N('Peta CPL'!$C$20)*N('Peta CPL'!$I$20)+N(S33)*N('Peta CPL'!$C$21)*N('Peta CPL'!$I$21))/(N('Peta CPL'!$C$14)*N('Peta CPL'!$I$14)+N('Peta CPL'!$C$15)*N('Peta CPL'!$I$15)+N('Peta CPL'!$C$16)*N('Peta CPL'!$I$16)+N('Peta CPL'!$C$17)*N('Peta CPL'!$I$17)+N('Peta CPL'!$C$18)*N('Peta CPL'!$I$18)+N('Peta CPL'!$C$19)*N('Peta CPL'!$I$19)+N('Peta CPL'!$C$20)*N('Peta CPL'!$I$20)+N('Peta CPL'!$C$21)*N('Peta CPL'!$I$21)),""))</f>
        <v/>
      </c>
      <c r="Z33" s="7">
        <f>IF($B33="","",IFERROR((N(L33)*N('Peta CPL'!$C$14)+N(M33)*N('Peta CPL'!$C$15)+N(N33)*N('Peta CPL'!$C$16)+N(O33)*N('Peta CPL'!$C$17)+N(P33)*N('Peta CPL'!$C$18)+N(Q33)*N('Peta CPL'!$C$19)+N(R33)*N('Peta CPL'!$C$20)+N(S33)*N('Peta CPL'!$C$21))/100,""))</f>
        <v/>
      </c>
    </row>
    <row r="34">
      <c r="A34" s="7">
        <f>'Input Nilai'!A34</f>
        <v/>
      </c>
      <c r="B34" s="7">
        <f>'Input Nilai'!B34</f>
        <v/>
      </c>
      <c r="C34" s="15">
        <f>'Input Nilai'!C34</f>
        <v/>
      </c>
      <c r="D34" s="7">
        <f>IF(OR('Input Nilai'!$B34="",'Bobot CPMK'!$O$4=0),"",(SUMPRODUCT('Input Nilai'!D34:L34,'Bobot CPMK'!$E$4:$M$4)+'Input Nilai'!$BX34*'Bobot CPMK'!$N$4)/'Bobot CPMK'!$O$4)</f>
        <v/>
      </c>
      <c r="E34" s="7">
        <f>IF(OR('Input Nilai'!$B34="",'Bobot CPMK'!$O$5=0),"",(SUMPRODUCT('Input Nilai'!M34:U34,'Bobot CPMK'!$E$5:$M$5)+'Input Nilai'!$BX34*'Bobot CPMK'!$N$5)/'Bobot CPMK'!$O$5)</f>
        <v/>
      </c>
      <c r="F34" s="7">
        <f>IF(OR('Input Nilai'!$B34="",'Bobot CPMK'!$O$6=0),"",(SUMPRODUCT('Input Nilai'!V34:AD34,'Bobot CPMK'!$E$6:$M$6)+'Input Nilai'!$BX34*'Bobot CPMK'!$N$6)/'Bobot CPMK'!$O$6)</f>
        <v/>
      </c>
      <c r="G34" s="7">
        <f>IF(OR('Input Nilai'!$B34="",'Bobot CPMK'!$O$7=0),"",(SUMPRODUCT('Input Nilai'!AE34:AM34,'Bobot CPMK'!$E$7:$M$7)+'Input Nilai'!$BX34*'Bobot CPMK'!$N$7)/'Bobot CPMK'!$O$7)</f>
        <v/>
      </c>
      <c r="H34" s="7">
        <f>IF(OR('Input Nilai'!$B34="",'Bobot CPMK'!$O$8=0),"",(SUMPRODUCT('Input Nilai'!AN34:AV34,'Bobot CPMK'!$E$8:$M$8)+'Input Nilai'!$BX34*'Bobot CPMK'!$N$8)/'Bobot CPMK'!$O$8)</f>
        <v/>
      </c>
      <c r="I34" s="7">
        <f>IF(OR('Input Nilai'!$B34="",'Bobot CPMK'!$O$9=0),"",(SUMPRODUCT('Input Nilai'!AW34:BE34,'Bobot CPMK'!$E$9:$M$9)+'Input Nilai'!$BX34*'Bobot CPMK'!$N$9)/'Bobot CPMK'!$O$9)</f>
        <v/>
      </c>
      <c r="J34" s="7">
        <f>IF(OR('Input Nilai'!$B34="",'Bobot CPMK'!$O$10=0),"",(SUMPRODUCT('Input Nilai'!BF34:BN34,'Bobot CPMK'!$E$10:$M$10)+'Input Nilai'!$BX34*'Bobot CPMK'!$N$10)/'Bobot CPMK'!$O$10)</f>
        <v/>
      </c>
      <c r="K34" s="7">
        <f>IF(OR('Input Nilai'!$B34="",'Bobot CPMK'!$O$11=0),"",(SUMPRODUCT('Input Nilai'!BO34:BW34,'Bobot CPMK'!$E$11:$M$11)+'Input Nilai'!$BX34*'Bobot CPMK'!$N$11)/'Bobot CPMK'!$O$11)</f>
        <v/>
      </c>
      <c r="L34" s="7">
        <f>IF(OR($B34="",'Peta CPL'!$A$14=""),"",IFERROR(SUM(IF('Bobot CPMK'!$B$4='Peta CPL'!$A$14,N(D34)*'Bobot CPMK'!$P$4,0),IF('Bobot CPMK'!$B$5='Peta CPL'!$A$14,N(E34)*'Bobot CPMK'!$P$5,0),IF('Bobot CPMK'!$B$6='Peta CPL'!$A$14,N(F34)*'Bobot CPMK'!$P$6,0),IF('Bobot CPMK'!$B$7='Peta CPL'!$A$14,N(G34)*'Bobot CPMK'!$P$7,0),IF('Bobot CPMK'!$B$8='Peta CPL'!$A$14,N(H34)*'Bobot CPMK'!$P$8,0),IF('Bobot CPMK'!$B$9='Peta CPL'!$A$14,N(I34)*'Bobot CPMK'!$P$9,0),IF('Bobot CPMK'!$B$10='Peta CPL'!$A$14,N(J34)*'Bobot CPMK'!$P$10,0),IF('Bobot CPMK'!$B$11='Peta CPL'!$A$14,N(K34)*'Bobot CPMK'!$P$11,0))/SUM(IF('Bobot CPMK'!$B$4='Peta CPL'!$A$14,'Bobot CPMK'!$P$4,0),IF('Bobot CPMK'!$B$5='Peta CPL'!$A$14,'Bobot CPMK'!$P$5,0),IF('Bobot CPMK'!$B$6='Peta CPL'!$A$14,'Bobot CPMK'!$P$6,0),IF('Bobot CPMK'!$B$7='Peta CPL'!$A$14,'Bobot CPMK'!$P$7,0),IF('Bobot CPMK'!$B$8='Peta CPL'!$A$14,'Bobot CPMK'!$P$8,0),IF('Bobot CPMK'!$B$9='Peta CPL'!$A$14,'Bobot CPMK'!$P$9,0),IF('Bobot CPMK'!$B$10='Peta CPL'!$A$14,'Bobot CPMK'!$P$10,0),IF('Bobot CPMK'!$B$11='Peta CPL'!$A$14,'Bobot CPMK'!$P$11,0)),""))</f>
        <v/>
      </c>
      <c r="M34" s="7">
        <f>IF(OR($B34="",'Peta CPL'!$A$15=""),"",IFERROR(SUM(IF('Bobot CPMK'!$B$4='Peta CPL'!$A$15,N(D34)*'Bobot CPMK'!$P$4,0),IF('Bobot CPMK'!$B$5='Peta CPL'!$A$15,N(E34)*'Bobot CPMK'!$P$5,0),IF('Bobot CPMK'!$B$6='Peta CPL'!$A$15,N(F34)*'Bobot CPMK'!$P$6,0),IF('Bobot CPMK'!$B$7='Peta CPL'!$A$15,N(G34)*'Bobot CPMK'!$P$7,0),IF('Bobot CPMK'!$B$8='Peta CPL'!$A$15,N(H34)*'Bobot CPMK'!$P$8,0),IF('Bobot CPMK'!$B$9='Peta CPL'!$A$15,N(I34)*'Bobot CPMK'!$P$9,0),IF('Bobot CPMK'!$B$10='Peta CPL'!$A$15,N(J34)*'Bobot CPMK'!$P$10,0),IF('Bobot CPMK'!$B$11='Peta CPL'!$A$15,N(K34)*'Bobot CPMK'!$P$11,0))/SUM(IF('Bobot CPMK'!$B$4='Peta CPL'!$A$15,'Bobot CPMK'!$P$4,0),IF('Bobot CPMK'!$B$5='Peta CPL'!$A$15,'Bobot CPMK'!$P$5,0),IF('Bobot CPMK'!$B$6='Peta CPL'!$A$15,'Bobot CPMK'!$P$6,0),IF('Bobot CPMK'!$B$7='Peta CPL'!$A$15,'Bobot CPMK'!$P$7,0),IF('Bobot CPMK'!$B$8='Peta CPL'!$A$15,'Bobot CPMK'!$P$8,0),IF('Bobot CPMK'!$B$9='Peta CPL'!$A$15,'Bobot CPMK'!$P$9,0),IF('Bobot CPMK'!$B$10='Peta CPL'!$A$15,'Bobot CPMK'!$P$10,0),IF('Bobot CPMK'!$B$11='Peta CPL'!$A$15,'Bobot CPMK'!$P$11,0)),""))</f>
        <v/>
      </c>
      <c r="N34" s="7">
        <f>IF(OR($B34="",'Peta CPL'!$A$16=""),"",IFERROR(SUM(IF('Bobot CPMK'!$B$4='Peta CPL'!$A$16,N(D34)*'Bobot CPMK'!$P$4,0),IF('Bobot CPMK'!$B$5='Peta CPL'!$A$16,N(E34)*'Bobot CPMK'!$P$5,0),IF('Bobot CPMK'!$B$6='Peta CPL'!$A$16,N(F34)*'Bobot CPMK'!$P$6,0),IF('Bobot CPMK'!$B$7='Peta CPL'!$A$16,N(G34)*'Bobot CPMK'!$P$7,0),IF('Bobot CPMK'!$B$8='Peta CPL'!$A$16,N(H34)*'Bobot CPMK'!$P$8,0),IF('Bobot CPMK'!$B$9='Peta CPL'!$A$16,N(I34)*'Bobot CPMK'!$P$9,0),IF('Bobot CPMK'!$B$10='Peta CPL'!$A$16,N(J34)*'Bobot CPMK'!$P$10,0),IF('Bobot CPMK'!$B$11='Peta CPL'!$A$16,N(K34)*'Bobot CPMK'!$P$11,0))/SUM(IF('Bobot CPMK'!$B$4='Peta CPL'!$A$16,'Bobot CPMK'!$P$4,0),IF('Bobot CPMK'!$B$5='Peta CPL'!$A$16,'Bobot CPMK'!$P$5,0),IF('Bobot CPMK'!$B$6='Peta CPL'!$A$16,'Bobot CPMK'!$P$6,0),IF('Bobot CPMK'!$B$7='Peta CPL'!$A$16,'Bobot CPMK'!$P$7,0),IF('Bobot CPMK'!$B$8='Peta CPL'!$A$16,'Bobot CPMK'!$P$8,0),IF('Bobot CPMK'!$B$9='Peta CPL'!$A$16,'Bobot CPMK'!$P$9,0),IF('Bobot CPMK'!$B$10='Peta CPL'!$A$16,'Bobot CPMK'!$P$10,0),IF('Bobot CPMK'!$B$11='Peta CPL'!$A$16,'Bobot CPMK'!$P$11,0)),""))</f>
        <v/>
      </c>
      <c r="O34" s="7">
        <f>IF(OR($B34="",'Peta CPL'!$A$17=""),"",IFERROR(SUM(IF('Bobot CPMK'!$B$4='Peta CPL'!$A$17,N(D34)*'Bobot CPMK'!$P$4,0),IF('Bobot CPMK'!$B$5='Peta CPL'!$A$17,N(E34)*'Bobot CPMK'!$P$5,0),IF('Bobot CPMK'!$B$6='Peta CPL'!$A$17,N(F34)*'Bobot CPMK'!$P$6,0),IF('Bobot CPMK'!$B$7='Peta CPL'!$A$17,N(G34)*'Bobot CPMK'!$P$7,0),IF('Bobot CPMK'!$B$8='Peta CPL'!$A$17,N(H34)*'Bobot CPMK'!$P$8,0),IF('Bobot CPMK'!$B$9='Peta CPL'!$A$17,N(I34)*'Bobot CPMK'!$P$9,0),IF('Bobot CPMK'!$B$10='Peta CPL'!$A$17,N(J34)*'Bobot CPMK'!$P$10,0),IF('Bobot CPMK'!$B$11='Peta CPL'!$A$17,N(K34)*'Bobot CPMK'!$P$11,0))/SUM(IF('Bobot CPMK'!$B$4='Peta CPL'!$A$17,'Bobot CPMK'!$P$4,0),IF('Bobot CPMK'!$B$5='Peta CPL'!$A$17,'Bobot CPMK'!$P$5,0),IF('Bobot CPMK'!$B$6='Peta CPL'!$A$17,'Bobot CPMK'!$P$6,0),IF('Bobot CPMK'!$B$7='Peta CPL'!$A$17,'Bobot CPMK'!$P$7,0),IF('Bobot CPMK'!$B$8='Peta CPL'!$A$17,'Bobot CPMK'!$P$8,0),IF('Bobot CPMK'!$B$9='Peta CPL'!$A$17,'Bobot CPMK'!$P$9,0),IF('Bobot CPMK'!$B$10='Peta CPL'!$A$17,'Bobot CPMK'!$P$10,0),IF('Bobot CPMK'!$B$11='Peta CPL'!$A$17,'Bobot CPMK'!$P$11,0)),""))</f>
        <v/>
      </c>
      <c r="P34" s="7">
        <f>IF(OR($B34="",'Peta CPL'!$A$18=""),"",IFERROR(SUM(IF('Bobot CPMK'!$B$4='Peta CPL'!$A$18,N(D34)*'Bobot CPMK'!$P$4,0),IF('Bobot CPMK'!$B$5='Peta CPL'!$A$18,N(E34)*'Bobot CPMK'!$P$5,0),IF('Bobot CPMK'!$B$6='Peta CPL'!$A$18,N(F34)*'Bobot CPMK'!$P$6,0),IF('Bobot CPMK'!$B$7='Peta CPL'!$A$18,N(G34)*'Bobot CPMK'!$P$7,0),IF('Bobot CPMK'!$B$8='Peta CPL'!$A$18,N(H34)*'Bobot CPMK'!$P$8,0),IF('Bobot CPMK'!$B$9='Peta CPL'!$A$18,N(I34)*'Bobot CPMK'!$P$9,0),IF('Bobot CPMK'!$B$10='Peta CPL'!$A$18,N(J34)*'Bobot CPMK'!$P$10,0),IF('Bobot CPMK'!$B$11='Peta CPL'!$A$18,N(K34)*'Bobot CPMK'!$P$11,0))/SUM(IF('Bobot CPMK'!$B$4='Peta CPL'!$A$18,'Bobot CPMK'!$P$4,0),IF('Bobot CPMK'!$B$5='Peta CPL'!$A$18,'Bobot CPMK'!$P$5,0),IF('Bobot CPMK'!$B$6='Peta CPL'!$A$18,'Bobot CPMK'!$P$6,0),IF('Bobot CPMK'!$B$7='Peta CPL'!$A$18,'Bobot CPMK'!$P$7,0),IF('Bobot CPMK'!$B$8='Peta CPL'!$A$18,'Bobot CPMK'!$P$8,0),IF('Bobot CPMK'!$B$9='Peta CPL'!$A$18,'Bobot CPMK'!$P$9,0),IF('Bobot CPMK'!$B$10='Peta CPL'!$A$18,'Bobot CPMK'!$P$10,0),IF('Bobot CPMK'!$B$11='Peta CPL'!$A$18,'Bobot CPMK'!$P$11,0)),""))</f>
        <v/>
      </c>
      <c r="Q34" s="7">
        <f>IF(OR($B34="",'Peta CPL'!$A$19=""),"",IFERROR(SUM(IF('Bobot CPMK'!$B$4='Peta CPL'!$A$19,N(D34)*'Bobot CPMK'!$P$4,0),IF('Bobot CPMK'!$B$5='Peta CPL'!$A$19,N(E34)*'Bobot CPMK'!$P$5,0),IF('Bobot CPMK'!$B$6='Peta CPL'!$A$19,N(F34)*'Bobot CPMK'!$P$6,0),IF('Bobot CPMK'!$B$7='Peta CPL'!$A$19,N(G34)*'Bobot CPMK'!$P$7,0),IF('Bobot CPMK'!$B$8='Peta CPL'!$A$19,N(H34)*'Bobot CPMK'!$P$8,0),IF('Bobot CPMK'!$B$9='Peta CPL'!$A$19,N(I34)*'Bobot CPMK'!$P$9,0),IF('Bobot CPMK'!$B$10='Peta CPL'!$A$19,N(J34)*'Bobot CPMK'!$P$10,0),IF('Bobot CPMK'!$B$11='Peta CPL'!$A$19,N(K34)*'Bobot CPMK'!$P$11,0))/SUM(IF('Bobot CPMK'!$B$4='Peta CPL'!$A$19,'Bobot CPMK'!$P$4,0),IF('Bobot CPMK'!$B$5='Peta CPL'!$A$19,'Bobot CPMK'!$P$5,0),IF('Bobot CPMK'!$B$6='Peta CPL'!$A$19,'Bobot CPMK'!$P$6,0),IF('Bobot CPMK'!$B$7='Peta CPL'!$A$19,'Bobot CPMK'!$P$7,0),IF('Bobot CPMK'!$B$8='Peta CPL'!$A$19,'Bobot CPMK'!$P$8,0),IF('Bobot CPMK'!$B$9='Peta CPL'!$A$19,'Bobot CPMK'!$P$9,0),IF('Bobot CPMK'!$B$10='Peta CPL'!$A$19,'Bobot CPMK'!$P$10,0),IF('Bobot CPMK'!$B$11='Peta CPL'!$A$19,'Bobot CPMK'!$P$11,0)),""))</f>
        <v/>
      </c>
      <c r="R34" s="7">
        <f>IF(OR($B34="",'Peta CPL'!$A$20=""),"",IFERROR(SUM(IF('Bobot CPMK'!$B$4='Peta CPL'!$A$20,N(D34)*'Bobot CPMK'!$P$4,0),IF('Bobot CPMK'!$B$5='Peta CPL'!$A$20,N(E34)*'Bobot CPMK'!$P$5,0),IF('Bobot CPMK'!$B$6='Peta CPL'!$A$20,N(F34)*'Bobot CPMK'!$P$6,0),IF('Bobot CPMK'!$B$7='Peta CPL'!$A$20,N(G34)*'Bobot CPMK'!$P$7,0),IF('Bobot CPMK'!$B$8='Peta CPL'!$A$20,N(H34)*'Bobot CPMK'!$P$8,0),IF('Bobot CPMK'!$B$9='Peta CPL'!$A$20,N(I34)*'Bobot CPMK'!$P$9,0),IF('Bobot CPMK'!$B$10='Peta CPL'!$A$20,N(J34)*'Bobot CPMK'!$P$10,0),IF('Bobot CPMK'!$B$11='Peta CPL'!$A$20,N(K34)*'Bobot CPMK'!$P$11,0))/SUM(IF('Bobot CPMK'!$B$4='Peta CPL'!$A$20,'Bobot CPMK'!$P$4,0),IF('Bobot CPMK'!$B$5='Peta CPL'!$A$20,'Bobot CPMK'!$P$5,0),IF('Bobot CPMK'!$B$6='Peta CPL'!$A$20,'Bobot CPMK'!$P$6,0),IF('Bobot CPMK'!$B$7='Peta CPL'!$A$20,'Bobot CPMK'!$P$7,0),IF('Bobot CPMK'!$B$8='Peta CPL'!$A$20,'Bobot CPMK'!$P$8,0),IF('Bobot CPMK'!$B$9='Peta CPL'!$A$20,'Bobot CPMK'!$P$9,0),IF('Bobot CPMK'!$B$10='Peta CPL'!$A$20,'Bobot CPMK'!$P$10,0),IF('Bobot CPMK'!$B$11='Peta CPL'!$A$20,'Bobot CPMK'!$P$11,0)),""))</f>
        <v/>
      </c>
      <c r="S34" s="7">
        <f>IF(OR($B34="",'Peta CPL'!$A$21=""),"",IFERROR(SUM(IF('Bobot CPMK'!$B$4='Peta CPL'!$A$21,N(D34)*'Bobot CPMK'!$P$4,0),IF('Bobot CPMK'!$B$5='Peta CPL'!$A$21,N(E34)*'Bobot CPMK'!$P$5,0),IF('Bobot CPMK'!$B$6='Peta CPL'!$A$21,N(F34)*'Bobot CPMK'!$P$6,0),IF('Bobot CPMK'!$B$7='Peta CPL'!$A$21,N(G34)*'Bobot CPMK'!$P$7,0),IF('Bobot CPMK'!$B$8='Peta CPL'!$A$21,N(H34)*'Bobot CPMK'!$P$8,0),IF('Bobot CPMK'!$B$9='Peta CPL'!$A$21,N(I34)*'Bobot CPMK'!$P$9,0),IF('Bobot CPMK'!$B$10='Peta CPL'!$A$21,N(J34)*'Bobot CPMK'!$P$10,0),IF('Bobot CPMK'!$B$11='Peta CPL'!$A$21,N(K34)*'Bobot CPMK'!$P$11,0))/SUM(IF('Bobot CPMK'!$B$4='Peta CPL'!$A$21,'Bobot CPMK'!$P$4,0),IF('Bobot CPMK'!$B$5='Peta CPL'!$A$21,'Bobot CPMK'!$P$5,0),IF('Bobot CPMK'!$B$6='Peta CPL'!$A$21,'Bobot CPMK'!$P$6,0),IF('Bobot CPMK'!$B$7='Peta CPL'!$A$21,'Bobot CPMK'!$P$7,0),IF('Bobot CPMK'!$B$8='Peta CPL'!$A$21,'Bobot CPMK'!$P$8,0),IF('Bobot CPMK'!$B$9='Peta CPL'!$A$21,'Bobot CPMK'!$P$9,0),IF('Bobot CPMK'!$B$10='Peta CPL'!$A$21,'Bobot CPMK'!$P$10,0),IF('Bobot CPMK'!$B$11='Peta CPL'!$A$21,'Bobot CPMK'!$P$11,0)),""))</f>
        <v/>
      </c>
      <c r="T34" s="7">
        <f>IF(OR($B34="",'Peta CPL'!$A$5=""),"",IFERROR((N(L34)*N('Peta CPL'!$C$14)*N('Peta CPL'!$D$14)+N(M34)*N('Peta CPL'!$C$15)*N('Peta CPL'!$D$15)+N(N34)*N('Peta CPL'!$C$16)*N('Peta CPL'!$D$16)+N(O34)*N('Peta CPL'!$C$17)*N('Peta CPL'!$D$17)+N(P34)*N('Peta CPL'!$C$18)*N('Peta CPL'!$D$18)+N(Q34)*N('Peta CPL'!$C$19)*N('Peta CPL'!$D$19)+N(R34)*N('Peta CPL'!$C$20)*N('Peta CPL'!$D$20)+N(S34)*N('Peta CPL'!$C$21)*N('Peta CPL'!$D$21))/(N('Peta CPL'!$C$14)*N('Peta CPL'!$D$14)+N('Peta CPL'!$C$15)*N('Peta CPL'!$D$15)+N('Peta CPL'!$C$16)*N('Peta CPL'!$D$16)+N('Peta CPL'!$C$17)*N('Peta CPL'!$D$17)+N('Peta CPL'!$C$18)*N('Peta CPL'!$D$18)+N('Peta CPL'!$C$19)*N('Peta CPL'!$D$19)+N('Peta CPL'!$C$20)*N('Peta CPL'!$D$20)+N('Peta CPL'!$C$21)*N('Peta CPL'!$D$21)),""))</f>
        <v/>
      </c>
      <c r="U34" s="7">
        <f>IF(OR($B34="",'Peta CPL'!$A$6=""),"",IFERROR((N(L34)*N('Peta CPL'!$C$14)*N('Peta CPL'!$E$14)+N(M34)*N('Peta CPL'!$C$15)*N('Peta CPL'!$E$15)+N(N34)*N('Peta CPL'!$C$16)*N('Peta CPL'!$E$16)+N(O34)*N('Peta CPL'!$C$17)*N('Peta CPL'!$E$17)+N(P34)*N('Peta CPL'!$C$18)*N('Peta CPL'!$E$18)+N(Q34)*N('Peta CPL'!$C$19)*N('Peta CPL'!$E$19)+N(R34)*N('Peta CPL'!$C$20)*N('Peta CPL'!$E$20)+N(S34)*N('Peta CPL'!$C$21)*N('Peta CPL'!$E$21))/(N('Peta CPL'!$C$14)*N('Peta CPL'!$E$14)+N('Peta CPL'!$C$15)*N('Peta CPL'!$E$15)+N('Peta CPL'!$C$16)*N('Peta CPL'!$E$16)+N('Peta CPL'!$C$17)*N('Peta CPL'!$E$17)+N('Peta CPL'!$C$18)*N('Peta CPL'!$E$18)+N('Peta CPL'!$C$19)*N('Peta CPL'!$E$19)+N('Peta CPL'!$C$20)*N('Peta CPL'!$E$20)+N('Peta CPL'!$C$21)*N('Peta CPL'!$E$21)),""))</f>
        <v/>
      </c>
      <c r="V34" s="7">
        <f>IF(OR($B34="",'Peta CPL'!$A$7=""),"",IFERROR((N(L34)*N('Peta CPL'!$C$14)*N('Peta CPL'!$F$14)+N(M34)*N('Peta CPL'!$C$15)*N('Peta CPL'!$F$15)+N(N34)*N('Peta CPL'!$C$16)*N('Peta CPL'!$F$16)+N(O34)*N('Peta CPL'!$C$17)*N('Peta CPL'!$F$17)+N(P34)*N('Peta CPL'!$C$18)*N('Peta CPL'!$F$18)+N(Q34)*N('Peta CPL'!$C$19)*N('Peta CPL'!$F$19)+N(R34)*N('Peta CPL'!$C$20)*N('Peta CPL'!$F$20)+N(S34)*N('Peta CPL'!$C$21)*N('Peta CPL'!$F$21))/(N('Peta CPL'!$C$14)*N('Peta CPL'!$F$14)+N('Peta CPL'!$C$15)*N('Peta CPL'!$F$15)+N('Peta CPL'!$C$16)*N('Peta CPL'!$F$16)+N('Peta CPL'!$C$17)*N('Peta CPL'!$F$17)+N('Peta CPL'!$C$18)*N('Peta CPL'!$F$18)+N('Peta CPL'!$C$19)*N('Peta CPL'!$F$19)+N('Peta CPL'!$C$20)*N('Peta CPL'!$F$20)+N('Peta CPL'!$C$21)*N('Peta CPL'!$F$21)),""))</f>
        <v/>
      </c>
      <c r="W34" s="7">
        <f>IF(OR($B34="",'Peta CPL'!$A$8=""),"",IFERROR((N(L34)*N('Peta CPL'!$C$14)*N('Peta CPL'!$G$14)+N(M34)*N('Peta CPL'!$C$15)*N('Peta CPL'!$G$15)+N(N34)*N('Peta CPL'!$C$16)*N('Peta CPL'!$G$16)+N(O34)*N('Peta CPL'!$C$17)*N('Peta CPL'!$G$17)+N(P34)*N('Peta CPL'!$C$18)*N('Peta CPL'!$G$18)+N(Q34)*N('Peta CPL'!$C$19)*N('Peta CPL'!$G$19)+N(R34)*N('Peta CPL'!$C$20)*N('Peta CPL'!$G$20)+N(S34)*N('Peta CPL'!$C$21)*N('Peta CPL'!$G$21))/(N('Peta CPL'!$C$14)*N('Peta CPL'!$G$14)+N('Peta CPL'!$C$15)*N('Peta CPL'!$G$15)+N('Peta CPL'!$C$16)*N('Peta CPL'!$G$16)+N('Peta CPL'!$C$17)*N('Peta CPL'!$G$17)+N('Peta CPL'!$C$18)*N('Peta CPL'!$G$18)+N('Peta CPL'!$C$19)*N('Peta CPL'!$G$19)+N('Peta CPL'!$C$20)*N('Peta CPL'!$G$20)+N('Peta CPL'!$C$21)*N('Peta CPL'!$G$21)),""))</f>
        <v/>
      </c>
      <c r="X34" s="7">
        <f>IF(OR($B34="",'Peta CPL'!$A$9=""),"",IFERROR((N(L34)*N('Peta CPL'!$C$14)*N('Peta CPL'!$H$14)+N(M34)*N('Peta CPL'!$C$15)*N('Peta CPL'!$H$15)+N(N34)*N('Peta CPL'!$C$16)*N('Peta CPL'!$H$16)+N(O34)*N('Peta CPL'!$C$17)*N('Peta CPL'!$H$17)+N(P34)*N('Peta CPL'!$C$18)*N('Peta CPL'!$H$18)+N(Q34)*N('Peta CPL'!$C$19)*N('Peta CPL'!$H$19)+N(R34)*N('Peta CPL'!$C$20)*N('Peta CPL'!$H$20)+N(S34)*N('Peta CPL'!$C$21)*N('Peta CPL'!$H$21))/(N('Peta CPL'!$C$14)*N('Peta CPL'!$H$14)+N('Peta CPL'!$C$15)*N('Peta CPL'!$H$15)+N('Peta CPL'!$C$16)*N('Peta CPL'!$H$16)+N('Peta CPL'!$C$17)*N('Peta CPL'!$H$17)+N('Peta CPL'!$C$18)*N('Peta CPL'!$H$18)+N('Peta CPL'!$C$19)*N('Peta CPL'!$H$19)+N('Peta CPL'!$C$20)*N('Peta CPL'!$H$20)+N('Peta CPL'!$C$21)*N('Peta CPL'!$H$21)),""))</f>
        <v/>
      </c>
      <c r="Y34" s="7">
        <f>IF(OR($B34="",'Peta CPL'!$A$10=""),"",IFERROR((N(L34)*N('Peta CPL'!$C$14)*N('Peta CPL'!$I$14)+N(M34)*N('Peta CPL'!$C$15)*N('Peta CPL'!$I$15)+N(N34)*N('Peta CPL'!$C$16)*N('Peta CPL'!$I$16)+N(O34)*N('Peta CPL'!$C$17)*N('Peta CPL'!$I$17)+N(P34)*N('Peta CPL'!$C$18)*N('Peta CPL'!$I$18)+N(Q34)*N('Peta CPL'!$C$19)*N('Peta CPL'!$I$19)+N(R34)*N('Peta CPL'!$C$20)*N('Peta CPL'!$I$20)+N(S34)*N('Peta CPL'!$C$21)*N('Peta CPL'!$I$21))/(N('Peta CPL'!$C$14)*N('Peta CPL'!$I$14)+N('Peta CPL'!$C$15)*N('Peta CPL'!$I$15)+N('Peta CPL'!$C$16)*N('Peta CPL'!$I$16)+N('Peta CPL'!$C$17)*N('Peta CPL'!$I$17)+N('Peta CPL'!$C$18)*N('Peta CPL'!$I$18)+N('Peta CPL'!$C$19)*N('Peta CPL'!$I$19)+N('Peta CPL'!$C$20)*N('Peta CPL'!$I$20)+N('Peta CPL'!$C$21)*N('Peta CPL'!$I$21)),""))</f>
        <v/>
      </c>
      <c r="Z34" s="7">
        <f>IF($B34="","",IFERROR((N(L34)*N('Peta CPL'!$C$14)+N(M34)*N('Peta CPL'!$C$15)+N(N34)*N('Peta CPL'!$C$16)+N(O34)*N('Peta CPL'!$C$17)+N(P34)*N('Peta CPL'!$C$18)+N(Q34)*N('Peta CPL'!$C$19)+N(R34)*N('Peta CPL'!$C$20)+N(S34)*N('Peta CPL'!$C$21))/100,""))</f>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39"/>
  <sheetViews>
    <sheetView workbookViewId="0">
      <selection activeCell="A1" sqref="A1"/>
    </sheetView>
  </sheetViews>
  <sheetFormatPr baseColWidth="8" defaultRowHeight="15"/>
  <cols>
    <col width="12" customWidth="1" min="1" max="1"/>
    <col width="40" customWidth="1" min="2" max="2"/>
    <col width="10" customWidth="1" min="3" max="3"/>
    <col width="10" customWidth="1" min="4" max="4"/>
    <col width="10" customWidth="1" min="5" max="5"/>
    <col width="10" customWidth="1" min="6" max="6"/>
    <col width="10" customWidth="1" min="7" max="7"/>
    <col width="10" customWidth="1" min="8" max="8"/>
    <col width="8" customWidth="1" min="9" max="9"/>
    <col width="16" customWidth="1" min="10" max="10"/>
  </cols>
  <sheetData>
    <row r="1">
      <c r="A1" s="5" t="inlineStr">
        <is>
          <t>EVALUASI KETERCAPAIAN CPMK — [Nama Mata Kuliah]</t>
        </is>
      </c>
    </row>
    <row r="2" ht="20" customHeight="1">
      <c r="A2" s="2" t="inlineStr">
        <is>
          <t>Seluruh angka di sheet ini otomatis dari sheet "Nilai CPMK per Mahasiswa" dan "Input Nilai". Tiga parameter batas ada di sheet "Bobot CPMK" (baris 17-19).</t>
        </is>
      </c>
    </row>
    <row r="3">
      <c r="A3" s="13" t="inlineStr">
        <is>
          <t>A. Tingkat Sub-CPMK</t>
        </is>
      </c>
    </row>
    <row r="4">
      <c r="A4" s="6" t="inlineStr">
        <is>
          <t>CPMK</t>
        </is>
      </c>
      <c r="B4" s="6" t="inlineStr">
        <is>
          <t>Sub-CPMK / Bahan Kajian</t>
        </is>
      </c>
      <c r="C4" s="6" t="inlineStr">
        <is>
          <t>Bobot
thd MK (%)</t>
        </is>
      </c>
      <c r="D4" s="6" t="inlineStr">
        <is>
          <t>Rata-rata
Kelas</t>
        </is>
      </c>
      <c r="E4" s="6" t="inlineStr">
        <is>
          <t>Nilai
Tertinggi</t>
        </is>
      </c>
      <c r="F4" s="6" t="inlineStr">
        <is>
          <t>Nilai
Terendah</t>
        </is>
      </c>
      <c r="G4" s="6" t="inlineStr">
        <is>
          <t>Jml Mhs
Dinilai</t>
        </is>
      </c>
      <c r="H4" s="6" t="inlineStr">
        <is>
          <t>Jml Mhs
Tercapai</t>
        </is>
      </c>
      <c r="I4" s="6" t="inlineStr">
        <is>
          <t>%
Tercapai</t>
        </is>
      </c>
      <c r="J4" s="6" t="inlineStr">
        <is>
          <t>Status
Ketercapaian</t>
        </is>
      </c>
    </row>
    <row r="5">
      <c r="A5" s="7">
        <f>IF('Bobot CPMK'!B4="","",'Bobot CPMK'!B4)</f>
        <v/>
      </c>
      <c r="B5" s="15">
        <f>IF('Bobot CPMK'!C4="","",'Bobot CPMK'!C4)</f>
        <v/>
      </c>
      <c r="C5" s="7">
        <f>IF('Bobot CPMK'!B4="","",'Bobot CPMK'!O4)</f>
        <v/>
      </c>
      <c r="D5" s="7">
        <f>IFERROR(AVERAGE('Nilai CPMK per Mahasiswa'!$D$5:$D$34),"")</f>
        <v/>
      </c>
      <c r="E5" s="7">
        <f>IFERROR(MAX('Nilai CPMK per Mahasiswa'!$D$5:$D$34),"")</f>
        <v/>
      </c>
      <c r="F5" s="7">
        <f>IFERROR(MIN('Nilai CPMK per Mahasiswa'!$D$5:$D$34),"")</f>
        <v/>
      </c>
      <c r="G5" s="7">
        <f>COUNT('Nilai CPMK per Mahasiswa'!$D$5:$D$34)</f>
        <v/>
      </c>
      <c r="H5" s="7">
        <f>COUNTIF('Nilai CPMK per Mahasiswa'!$D$5:$D$34,"&gt;="&amp;'Bobot CPMK'!$T$18)</f>
        <v/>
      </c>
      <c r="I5" s="16">
        <f>IF(G5=0,"",H5/G5)</f>
        <v/>
      </c>
      <c r="J5" s="7">
        <f>IF(I5="","",IF(I5&gt;='Bobot CPMK'!$T$19,"Tercapai","Belum Tercapai"))</f>
        <v/>
      </c>
    </row>
    <row r="6">
      <c r="A6" s="7">
        <f>IF('Bobot CPMK'!B5="","",'Bobot CPMK'!B5)</f>
        <v/>
      </c>
      <c r="B6" s="15">
        <f>IF('Bobot CPMK'!C5="","",'Bobot CPMK'!C5)</f>
        <v/>
      </c>
      <c r="C6" s="7">
        <f>IF('Bobot CPMK'!B5="","",'Bobot CPMK'!O5)</f>
        <v/>
      </c>
      <c r="D6" s="7">
        <f>IFERROR(AVERAGE('Nilai CPMK per Mahasiswa'!$E$5:$E$34),"")</f>
        <v/>
      </c>
      <c r="E6" s="7">
        <f>IFERROR(MAX('Nilai CPMK per Mahasiswa'!$E$5:$E$34),"")</f>
        <v/>
      </c>
      <c r="F6" s="7">
        <f>IFERROR(MIN('Nilai CPMK per Mahasiswa'!$E$5:$E$34),"")</f>
        <v/>
      </c>
      <c r="G6" s="7">
        <f>COUNT('Nilai CPMK per Mahasiswa'!$E$5:$E$34)</f>
        <v/>
      </c>
      <c r="H6" s="7">
        <f>COUNTIF('Nilai CPMK per Mahasiswa'!$E$5:$E$34,"&gt;="&amp;'Bobot CPMK'!$T$18)</f>
        <v/>
      </c>
      <c r="I6" s="16">
        <f>IF(G6=0,"",H6/G6)</f>
        <v/>
      </c>
      <c r="J6" s="7">
        <f>IF(I6="","",IF(I6&gt;='Bobot CPMK'!$T$19,"Tercapai","Belum Tercapai"))</f>
        <v/>
      </c>
    </row>
    <row r="7">
      <c r="A7" s="7">
        <f>IF('Bobot CPMK'!B6="","",'Bobot CPMK'!B6)</f>
        <v/>
      </c>
      <c r="B7" s="15">
        <f>IF('Bobot CPMK'!C6="","",'Bobot CPMK'!C6)</f>
        <v/>
      </c>
      <c r="C7" s="7">
        <f>IF('Bobot CPMK'!B6="","",'Bobot CPMK'!O6)</f>
        <v/>
      </c>
      <c r="D7" s="7">
        <f>IFERROR(AVERAGE('Nilai CPMK per Mahasiswa'!$F$5:$F$34),"")</f>
        <v/>
      </c>
      <c r="E7" s="7">
        <f>IFERROR(MAX('Nilai CPMK per Mahasiswa'!$F$5:$F$34),"")</f>
        <v/>
      </c>
      <c r="F7" s="7">
        <f>IFERROR(MIN('Nilai CPMK per Mahasiswa'!$F$5:$F$34),"")</f>
        <v/>
      </c>
      <c r="G7" s="7">
        <f>COUNT('Nilai CPMK per Mahasiswa'!$F$5:$F$34)</f>
        <v/>
      </c>
      <c r="H7" s="7">
        <f>COUNTIF('Nilai CPMK per Mahasiswa'!$F$5:$F$34,"&gt;="&amp;'Bobot CPMK'!$T$18)</f>
        <v/>
      </c>
      <c r="I7" s="16">
        <f>IF(G7=0,"",H7/G7)</f>
        <v/>
      </c>
      <c r="J7" s="7">
        <f>IF(I7="","",IF(I7&gt;='Bobot CPMK'!$T$19,"Tercapai","Belum Tercapai"))</f>
        <v/>
      </c>
    </row>
    <row r="8">
      <c r="A8" s="7">
        <f>IF('Bobot CPMK'!B7="","",'Bobot CPMK'!B7)</f>
        <v/>
      </c>
      <c r="B8" s="15">
        <f>IF('Bobot CPMK'!C7="","",'Bobot CPMK'!C7)</f>
        <v/>
      </c>
      <c r="C8" s="7">
        <f>IF('Bobot CPMK'!B7="","",'Bobot CPMK'!O7)</f>
        <v/>
      </c>
      <c r="D8" s="7">
        <f>IFERROR(AVERAGE('Nilai CPMK per Mahasiswa'!$G$5:$G$34),"")</f>
        <v/>
      </c>
      <c r="E8" s="7">
        <f>IFERROR(MAX('Nilai CPMK per Mahasiswa'!$G$5:$G$34),"")</f>
        <v/>
      </c>
      <c r="F8" s="7">
        <f>IFERROR(MIN('Nilai CPMK per Mahasiswa'!$G$5:$G$34),"")</f>
        <v/>
      </c>
      <c r="G8" s="7">
        <f>COUNT('Nilai CPMK per Mahasiswa'!$G$5:$G$34)</f>
        <v/>
      </c>
      <c r="H8" s="7">
        <f>COUNTIF('Nilai CPMK per Mahasiswa'!$G$5:$G$34,"&gt;="&amp;'Bobot CPMK'!$T$18)</f>
        <v/>
      </c>
      <c r="I8" s="16">
        <f>IF(G8=0,"",H8/G8)</f>
        <v/>
      </c>
      <c r="J8" s="7">
        <f>IF(I8="","",IF(I8&gt;='Bobot CPMK'!$T$19,"Tercapai","Belum Tercapai"))</f>
        <v/>
      </c>
    </row>
    <row r="9">
      <c r="A9" s="7">
        <f>IF('Bobot CPMK'!B8="","",'Bobot CPMK'!B8)</f>
        <v/>
      </c>
      <c r="B9" s="15">
        <f>IF('Bobot CPMK'!C8="","",'Bobot CPMK'!C8)</f>
        <v/>
      </c>
      <c r="C9" s="7">
        <f>IF('Bobot CPMK'!B8="","",'Bobot CPMK'!O8)</f>
        <v/>
      </c>
      <c r="D9" s="7">
        <f>IFERROR(AVERAGE('Nilai CPMK per Mahasiswa'!$H$5:$H$34),"")</f>
        <v/>
      </c>
      <c r="E9" s="7">
        <f>IFERROR(MAX('Nilai CPMK per Mahasiswa'!$H$5:$H$34),"")</f>
        <v/>
      </c>
      <c r="F9" s="7">
        <f>IFERROR(MIN('Nilai CPMK per Mahasiswa'!$H$5:$H$34),"")</f>
        <v/>
      </c>
      <c r="G9" s="7">
        <f>COUNT('Nilai CPMK per Mahasiswa'!$H$5:$H$34)</f>
        <v/>
      </c>
      <c r="H9" s="7">
        <f>COUNTIF('Nilai CPMK per Mahasiswa'!$H$5:$H$34,"&gt;="&amp;'Bobot CPMK'!$T$18)</f>
        <v/>
      </c>
      <c r="I9" s="16">
        <f>IF(G9=0,"",H9/G9)</f>
        <v/>
      </c>
      <c r="J9" s="7">
        <f>IF(I9="","",IF(I9&gt;='Bobot CPMK'!$T$19,"Tercapai","Belum Tercapai"))</f>
        <v/>
      </c>
    </row>
    <row r="10">
      <c r="A10" s="7">
        <f>IF('Bobot CPMK'!B9="","",'Bobot CPMK'!B9)</f>
        <v/>
      </c>
      <c r="B10" s="15">
        <f>IF('Bobot CPMK'!C9="","",'Bobot CPMK'!C9)</f>
        <v/>
      </c>
      <c r="C10" s="7">
        <f>IF('Bobot CPMK'!B9="","",'Bobot CPMK'!O9)</f>
        <v/>
      </c>
      <c r="D10" s="7">
        <f>IFERROR(AVERAGE('Nilai CPMK per Mahasiswa'!$I$5:$I$34),"")</f>
        <v/>
      </c>
      <c r="E10" s="7">
        <f>IFERROR(MAX('Nilai CPMK per Mahasiswa'!$I$5:$I$34),"")</f>
        <v/>
      </c>
      <c r="F10" s="7">
        <f>IFERROR(MIN('Nilai CPMK per Mahasiswa'!$I$5:$I$34),"")</f>
        <v/>
      </c>
      <c r="G10" s="7">
        <f>COUNT('Nilai CPMK per Mahasiswa'!$I$5:$I$34)</f>
        <v/>
      </c>
      <c r="H10" s="7">
        <f>COUNTIF('Nilai CPMK per Mahasiswa'!$I$5:$I$34,"&gt;="&amp;'Bobot CPMK'!$T$18)</f>
        <v/>
      </c>
      <c r="I10" s="16">
        <f>IF(G10=0,"",H10/G10)</f>
        <v/>
      </c>
      <c r="J10" s="7">
        <f>IF(I10="","",IF(I10&gt;='Bobot CPMK'!$T$19,"Tercapai","Belum Tercapai"))</f>
        <v/>
      </c>
    </row>
    <row r="11">
      <c r="A11" s="7">
        <f>IF('Bobot CPMK'!B10="","",'Bobot CPMK'!B10)</f>
        <v/>
      </c>
      <c r="B11" s="15">
        <f>IF('Bobot CPMK'!C10="","",'Bobot CPMK'!C10)</f>
        <v/>
      </c>
      <c r="C11" s="7">
        <f>IF('Bobot CPMK'!B10="","",'Bobot CPMK'!O10)</f>
        <v/>
      </c>
      <c r="D11" s="7">
        <f>IFERROR(AVERAGE('Nilai CPMK per Mahasiswa'!$J$5:$J$34),"")</f>
        <v/>
      </c>
      <c r="E11" s="7">
        <f>IFERROR(MAX('Nilai CPMK per Mahasiswa'!$J$5:$J$34),"")</f>
        <v/>
      </c>
      <c r="F11" s="7">
        <f>IFERROR(MIN('Nilai CPMK per Mahasiswa'!$J$5:$J$34),"")</f>
        <v/>
      </c>
      <c r="G11" s="7">
        <f>COUNT('Nilai CPMK per Mahasiswa'!$J$5:$J$34)</f>
        <v/>
      </c>
      <c r="H11" s="7">
        <f>COUNTIF('Nilai CPMK per Mahasiswa'!$J$5:$J$34,"&gt;="&amp;'Bobot CPMK'!$T$18)</f>
        <v/>
      </c>
      <c r="I11" s="16">
        <f>IF(G11=0,"",H11/G11)</f>
        <v/>
      </c>
      <c r="J11" s="7">
        <f>IF(I11="","",IF(I11&gt;='Bobot CPMK'!$T$19,"Tercapai","Belum Tercapai"))</f>
        <v/>
      </c>
    </row>
    <row r="12">
      <c r="A12" s="7">
        <f>IF('Bobot CPMK'!B11="","",'Bobot CPMK'!B11)</f>
        <v/>
      </c>
      <c r="B12" s="15">
        <f>IF('Bobot CPMK'!C11="","",'Bobot CPMK'!C11)</f>
        <v/>
      </c>
      <c r="C12" s="7">
        <f>IF('Bobot CPMK'!B11="","",'Bobot CPMK'!O11)</f>
        <v/>
      </c>
      <c r="D12" s="7">
        <f>IFERROR(AVERAGE('Nilai CPMK per Mahasiswa'!$K$5:$K$34),"")</f>
        <v/>
      </c>
      <c r="E12" s="7">
        <f>IFERROR(MAX('Nilai CPMK per Mahasiswa'!$K$5:$K$34),"")</f>
        <v/>
      </c>
      <c r="F12" s="7">
        <f>IFERROR(MIN('Nilai CPMK per Mahasiswa'!$K$5:$K$34),"")</f>
        <v/>
      </c>
      <c r="G12" s="7">
        <f>COUNT('Nilai CPMK per Mahasiswa'!$K$5:$K$34)</f>
        <v/>
      </c>
      <c r="H12" s="7">
        <f>COUNTIF('Nilai CPMK per Mahasiswa'!$K$5:$K$34,"&gt;="&amp;'Bobot CPMK'!$T$18)</f>
        <v/>
      </c>
      <c r="I12" s="16">
        <f>IF(G12=0,"",H12/G12)</f>
        <v/>
      </c>
      <c r="J12" s="7">
        <f>IF(I12="","",IF(I12&gt;='Bobot CPMK'!$T$19,"Tercapai","Belum Tercapai"))</f>
        <v/>
      </c>
    </row>
    <row r="14">
      <c r="A14" s="13" t="inlineStr">
        <is>
          <t>B. Tingkat CPMK (agregat Sub-CPMK, tertimbang bobot thd CPMK)</t>
        </is>
      </c>
    </row>
    <row r="15">
      <c r="A15" s="6" t="inlineStr">
        <is>
          <t>CPMK</t>
        </is>
      </c>
      <c r="B15" s="6" t="inlineStr">
        <is>
          <t>Rumusan CPMK</t>
        </is>
      </c>
      <c r="C15" s="6" t="inlineStr">
        <is>
          <t>Bobot
thd MK (%)</t>
        </is>
      </c>
      <c r="D15" s="6" t="inlineStr">
        <is>
          <t>Rata-rata
Kelas</t>
        </is>
      </c>
      <c r="E15" s="6" t="inlineStr">
        <is>
          <t>Nilai
Tertinggi</t>
        </is>
      </c>
      <c r="F15" s="6" t="inlineStr">
        <is>
          <t>Nilai
Terendah</t>
        </is>
      </c>
      <c r="G15" s="6" t="inlineStr">
        <is>
          <t>Jml Mhs
Dinilai</t>
        </is>
      </c>
      <c r="H15" s="6" t="inlineStr">
        <is>
          <t>Jml Mhs
Tercapai</t>
        </is>
      </c>
      <c r="I15" s="6" t="inlineStr">
        <is>
          <t>%
Tercapai</t>
        </is>
      </c>
      <c r="J15" s="6" t="inlineStr">
        <is>
          <t>Status
Ketercapaian</t>
        </is>
      </c>
    </row>
    <row r="16">
      <c r="A16" s="7">
        <f>IF('Peta CPL'!A14="","",'Peta CPL'!A14)</f>
        <v/>
      </c>
      <c r="B16" s="15">
        <f>IF('Peta CPL'!A14="","",'Peta CPL'!B14)</f>
        <v/>
      </c>
      <c r="C16" s="7">
        <f>IF('Peta CPL'!A14="","",'Peta CPL'!C14)</f>
        <v/>
      </c>
      <c r="D16" s="7">
        <f>IFERROR(AVERAGEIF('Nilai CPMK per Mahasiswa'!$L$5:$L$34,"&lt;&gt;"),"")</f>
        <v/>
      </c>
      <c r="E16" s="7">
        <f>IFERROR(MAX('Nilai CPMK per Mahasiswa'!$L$5:$L$34),"")</f>
        <v/>
      </c>
      <c r="F16" s="7">
        <f>IFERROR(MIN('Nilai CPMK per Mahasiswa'!$L$5:$L$34),"")</f>
        <v/>
      </c>
      <c r="G16" s="7">
        <f>COUNT('Nilai CPMK per Mahasiswa'!$L$5:$L$34)</f>
        <v/>
      </c>
      <c r="H16" s="7">
        <f>COUNTIF('Nilai CPMK per Mahasiswa'!$L$5:$L$34,"&gt;="&amp;'Bobot CPMK'!$T$18)</f>
        <v/>
      </c>
      <c r="I16" s="16">
        <f>IF(G16=0,"",H16/G16)</f>
        <v/>
      </c>
      <c r="J16" s="7">
        <f>IF(I16="","",IF(I16&gt;='Bobot CPMK'!$T$19,"Tercapai","Belum Tercapai"))</f>
        <v/>
      </c>
    </row>
    <row r="17">
      <c r="A17" s="7">
        <f>IF('Peta CPL'!A15="","",'Peta CPL'!A15)</f>
        <v/>
      </c>
      <c r="B17" s="15">
        <f>IF('Peta CPL'!A15="","",'Peta CPL'!B15)</f>
        <v/>
      </c>
      <c r="C17" s="7">
        <f>IF('Peta CPL'!A15="","",'Peta CPL'!C15)</f>
        <v/>
      </c>
      <c r="D17" s="7">
        <f>IFERROR(AVERAGEIF('Nilai CPMK per Mahasiswa'!$M$5:$M$34,"&lt;&gt;"),"")</f>
        <v/>
      </c>
      <c r="E17" s="7">
        <f>IFERROR(MAX('Nilai CPMK per Mahasiswa'!$M$5:$M$34),"")</f>
        <v/>
      </c>
      <c r="F17" s="7">
        <f>IFERROR(MIN('Nilai CPMK per Mahasiswa'!$M$5:$M$34),"")</f>
        <v/>
      </c>
      <c r="G17" s="7">
        <f>COUNT('Nilai CPMK per Mahasiswa'!$M$5:$M$34)</f>
        <v/>
      </c>
      <c r="H17" s="7">
        <f>COUNTIF('Nilai CPMK per Mahasiswa'!$M$5:$M$34,"&gt;="&amp;'Bobot CPMK'!$T$18)</f>
        <v/>
      </c>
      <c r="I17" s="16">
        <f>IF(G17=0,"",H17/G17)</f>
        <v/>
      </c>
      <c r="J17" s="7">
        <f>IF(I17="","",IF(I17&gt;='Bobot CPMK'!$T$19,"Tercapai","Belum Tercapai"))</f>
        <v/>
      </c>
    </row>
    <row r="18">
      <c r="A18" s="7">
        <f>IF('Peta CPL'!A16="","",'Peta CPL'!A16)</f>
        <v/>
      </c>
      <c r="B18" s="15">
        <f>IF('Peta CPL'!A16="","",'Peta CPL'!B16)</f>
        <v/>
      </c>
      <c r="C18" s="7">
        <f>IF('Peta CPL'!A16="","",'Peta CPL'!C16)</f>
        <v/>
      </c>
      <c r="D18" s="7">
        <f>IFERROR(AVERAGEIF('Nilai CPMK per Mahasiswa'!$N$5:$N$34,"&lt;&gt;"),"")</f>
        <v/>
      </c>
      <c r="E18" s="7">
        <f>IFERROR(MAX('Nilai CPMK per Mahasiswa'!$N$5:$N$34),"")</f>
        <v/>
      </c>
      <c r="F18" s="7">
        <f>IFERROR(MIN('Nilai CPMK per Mahasiswa'!$N$5:$N$34),"")</f>
        <v/>
      </c>
      <c r="G18" s="7">
        <f>COUNT('Nilai CPMK per Mahasiswa'!$N$5:$N$34)</f>
        <v/>
      </c>
      <c r="H18" s="7">
        <f>COUNTIF('Nilai CPMK per Mahasiswa'!$N$5:$N$34,"&gt;="&amp;'Bobot CPMK'!$T$18)</f>
        <v/>
      </c>
      <c r="I18" s="16">
        <f>IF(G18=0,"",H18/G18)</f>
        <v/>
      </c>
      <c r="J18" s="7">
        <f>IF(I18="","",IF(I18&gt;='Bobot CPMK'!$T$19,"Tercapai","Belum Tercapai"))</f>
        <v/>
      </c>
    </row>
    <row r="19">
      <c r="A19" s="7">
        <f>IF('Peta CPL'!A17="","",'Peta CPL'!A17)</f>
        <v/>
      </c>
      <c r="B19" s="15">
        <f>IF('Peta CPL'!A17="","",'Peta CPL'!B17)</f>
        <v/>
      </c>
      <c r="C19" s="7">
        <f>IF('Peta CPL'!A17="","",'Peta CPL'!C17)</f>
        <v/>
      </c>
      <c r="D19" s="7">
        <f>IFERROR(AVERAGEIF('Nilai CPMK per Mahasiswa'!$O$5:$O$34,"&lt;&gt;"),"")</f>
        <v/>
      </c>
      <c r="E19" s="7">
        <f>IFERROR(MAX('Nilai CPMK per Mahasiswa'!$O$5:$O$34),"")</f>
        <v/>
      </c>
      <c r="F19" s="7">
        <f>IFERROR(MIN('Nilai CPMK per Mahasiswa'!$O$5:$O$34),"")</f>
        <v/>
      </c>
      <c r="G19" s="7">
        <f>COUNT('Nilai CPMK per Mahasiswa'!$O$5:$O$34)</f>
        <v/>
      </c>
      <c r="H19" s="7">
        <f>COUNTIF('Nilai CPMK per Mahasiswa'!$O$5:$O$34,"&gt;="&amp;'Bobot CPMK'!$T$18)</f>
        <v/>
      </c>
      <c r="I19" s="16">
        <f>IF(G19=0,"",H19/G19)</f>
        <v/>
      </c>
      <c r="J19" s="7">
        <f>IF(I19="","",IF(I19&gt;='Bobot CPMK'!$T$19,"Tercapai","Belum Tercapai"))</f>
        <v/>
      </c>
    </row>
    <row r="20">
      <c r="A20" s="7">
        <f>IF('Peta CPL'!A18="","",'Peta CPL'!A18)</f>
        <v/>
      </c>
      <c r="B20" s="15">
        <f>IF('Peta CPL'!A18="","",'Peta CPL'!B18)</f>
        <v/>
      </c>
      <c r="C20" s="7">
        <f>IF('Peta CPL'!A18="","",'Peta CPL'!C18)</f>
        <v/>
      </c>
      <c r="D20" s="7">
        <f>IFERROR(AVERAGEIF('Nilai CPMK per Mahasiswa'!$P$5:$P$34,"&lt;&gt;"),"")</f>
        <v/>
      </c>
      <c r="E20" s="7">
        <f>IFERROR(MAX('Nilai CPMK per Mahasiswa'!$P$5:$P$34),"")</f>
        <v/>
      </c>
      <c r="F20" s="7">
        <f>IFERROR(MIN('Nilai CPMK per Mahasiswa'!$P$5:$P$34),"")</f>
        <v/>
      </c>
      <c r="G20" s="7">
        <f>COUNT('Nilai CPMK per Mahasiswa'!$P$5:$P$34)</f>
        <v/>
      </c>
      <c r="H20" s="7">
        <f>COUNTIF('Nilai CPMK per Mahasiswa'!$P$5:$P$34,"&gt;="&amp;'Bobot CPMK'!$T$18)</f>
        <v/>
      </c>
      <c r="I20" s="16">
        <f>IF(G20=0,"",H20/G20)</f>
        <v/>
      </c>
      <c r="J20" s="7">
        <f>IF(I20="","",IF(I20&gt;='Bobot CPMK'!$T$19,"Tercapai","Belum Tercapai"))</f>
        <v/>
      </c>
    </row>
    <row r="21">
      <c r="A21" s="7">
        <f>IF('Peta CPL'!A19="","",'Peta CPL'!A19)</f>
        <v/>
      </c>
      <c r="B21" s="15">
        <f>IF('Peta CPL'!A19="","",'Peta CPL'!B19)</f>
        <v/>
      </c>
      <c r="C21" s="7">
        <f>IF('Peta CPL'!A19="","",'Peta CPL'!C19)</f>
        <v/>
      </c>
      <c r="D21" s="7">
        <f>IFERROR(AVERAGEIF('Nilai CPMK per Mahasiswa'!$Q$5:$Q$34,"&lt;&gt;"),"")</f>
        <v/>
      </c>
      <c r="E21" s="7">
        <f>IFERROR(MAX('Nilai CPMK per Mahasiswa'!$Q$5:$Q$34),"")</f>
        <v/>
      </c>
      <c r="F21" s="7">
        <f>IFERROR(MIN('Nilai CPMK per Mahasiswa'!$Q$5:$Q$34),"")</f>
        <v/>
      </c>
      <c r="G21" s="7">
        <f>COUNT('Nilai CPMK per Mahasiswa'!$Q$5:$Q$34)</f>
        <v/>
      </c>
      <c r="H21" s="7">
        <f>COUNTIF('Nilai CPMK per Mahasiswa'!$Q$5:$Q$34,"&gt;="&amp;'Bobot CPMK'!$T$18)</f>
        <v/>
      </c>
      <c r="I21" s="16">
        <f>IF(G21=0,"",H21/G21)</f>
        <v/>
      </c>
      <c r="J21" s="7">
        <f>IF(I21="","",IF(I21&gt;='Bobot CPMK'!$T$19,"Tercapai","Belum Tercapai"))</f>
        <v/>
      </c>
    </row>
    <row r="22">
      <c r="A22" s="7">
        <f>IF('Peta CPL'!A20="","",'Peta CPL'!A20)</f>
        <v/>
      </c>
      <c r="B22" s="15">
        <f>IF('Peta CPL'!A20="","",'Peta CPL'!B20)</f>
        <v/>
      </c>
      <c r="C22" s="7">
        <f>IF('Peta CPL'!A20="","",'Peta CPL'!C20)</f>
        <v/>
      </c>
      <c r="D22" s="7">
        <f>IFERROR(AVERAGEIF('Nilai CPMK per Mahasiswa'!$R$5:$R$34,"&lt;&gt;"),"")</f>
        <v/>
      </c>
      <c r="E22" s="7">
        <f>IFERROR(MAX('Nilai CPMK per Mahasiswa'!$R$5:$R$34),"")</f>
        <v/>
      </c>
      <c r="F22" s="7">
        <f>IFERROR(MIN('Nilai CPMK per Mahasiswa'!$R$5:$R$34),"")</f>
        <v/>
      </c>
      <c r="G22" s="7">
        <f>COUNT('Nilai CPMK per Mahasiswa'!$R$5:$R$34)</f>
        <v/>
      </c>
      <c r="H22" s="7">
        <f>COUNTIF('Nilai CPMK per Mahasiswa'!$R$5:$R$34,"&gt;="&amp;'Bobot CPMK'!$T$18)</f>
        <v/>
      </c>
      <c r="I22" s="16">
        <f>IF(G22=0,"",H22/G22)</f>
        <v/>
      </c>
      <c r="J22" s="7">
        <f>IF(I22="","",IF(I22&gt;='Bobot CPMK'!$T$19,"Tercapai","Belum Tercapai"))</f>
        <v/>
      </c>
    </row>
    <row r="23">
      <c r="A23" s="7">
        <f>IF('Peta CPL'!A21="","",'Peta CPL'!A21)</f>
        <v/>
      </c>
      <c r="B23" s="15">
        <f>IF('Peta CPL'!A21="","",'Peta CPL'!B21)</f>
        <v/>
      </c>
      <c r="C23" s="7">
        <f>IF('Peta CPL'!A21="","",'Peta CPL'!C21)</f>
        <v/>
      </c>
      <c r="D23" s="7">
        <f>IFERROR(AVERAGEIF('Nilai CPMK per Mahasiswa'!$S$5:$S$34,"&lt;&gt;"),"")</f>
        <v/>
      </c>
      <c r="E23" s="7">
        <f>IFERROR(MAX('Nilai CPMK per Mahasiswa'!$S$5:$S$34),"")</f>
        <v/>
      </c>
      <c r="F23" s="7">
        <f>IFERROR(MIN('Nilai CPMK per Mahasiswa'!$S$5:$S$34),"")</f>
        <v/>
      </c>
      <c r="G23" s="7">
        <f>COUNT('Nilai CPMK per Mahasiswa'!$S$5:$S$34)</f>
        <v/>
      </c>
      <c r="H23" s="7">
        <f>COUNTIF('Nilai CPMK per Mahasiswa'!$S$5:$S$34,"&gt;="&amp;'Bobot CPMK'!$T$18)</f>
        <v/>
      </c>
      <c r="I23" s="16">
        <f>IF(G23=0,"",H23/G23)</f>
        <v/>
      </c>
      <c r="J23" s="7">
        <f>IF(I23="","",IF(I23&gt;='Bobot CPMK'!$T$19,"Tercapai","Belum Tercapai"))</f>
        <v/>
      </c>
    </row>
    <row r="25">
      <c r="A25" s="13" t="inlineStr">
        <is>
          <t>C. Tingkat CPL — kontribusi MK ini saja (BUKAN capaian CPL final lintas kurikulum)</t>
        </is>
      </c>
    </row>
    <row r="26">
      <c r="A26" s="6" t="inlineStr">
        <is>
          <t>CPL</t>
        </is>
      </c>
      <c r="B26" s="6" t="inlineStr">
        <is>
          <t>Rumusan CPL</t>
        </is>
      </c>
      <c r="C26" s="6" t="inlineStr">
        <is>
          <t>Bobot
thd MK (%)</t>
        </is>
      </c>
      <c r="D26" s="6" t="inlineStr">
        <is>
          <t>Rata-rata
Kelas</t>
        </is>
      </c>
      <c r="E26" s="6" t="inlineStr">
        <is>
          <t>Nilai
Tertinggi</t>
        </is>
      </c>
      <c r="F26" s="6" t="inlineStr">
        <is>
          <t>Nilai
Terendah</t>
        </is>
      </c>
      <c r="G26" s="6" t="inlineStr">
        <is>
          <t>Jml Mhs
Dinilai</t>
        </is>
      </c>
      <c r="H26" s="6" t="inlineStr">
        <is>
          <t>Jml Mhs
Tercapai</t>
        </is>
      </c>
      <c r="I26" s="6" t="inlineStr">
        <is>
          <t>%
Tercapai</t>
        </is>
      </c>
      <c r="J26" s="6" t="inlineStr">
        <is>
          <t>Status
Ketercapaian</t>
        </is>
      </c>
    </row>
    <row r="27">
      <c r="A27" s="7">
        <f>IF('Peta CPL'!A5="","",'Peta CPL'!A5)</f>
        <v/>
      </c>
      <c r="B27" s="15">
        <f>IF('Peta CPL'!A5="","",'Peta CPL'!B5)</f>
        <v/>
      </c>
      <c r="C27" s="7">
        <f>SUMPRODUCT('Peta CPL'!$C$14:$C$21,'Peta CPL'!$D$14:$D$21)</f>
        <v/>
      </c>
      <c r="D27" s="7">
        <f>IFERROR(AVERAGEIF('Nilai CPMK per Mahasiswa'!$T$5:$T$34,"&lt;&gt;"),"")</f>
        <v/>
      </c>
      <c r="E27" s="7">
        <f>IFERROR(MAX('Nilai CPMK per Mahasiswa'!$T$5:$T$34),"")</f>
        <v/>
      </c>
      <c r="F27" s="7">
        <f>IFERROR(MIN('Nilai CPMK per Mahasiswa'!$T$5:$T$34),"")</f>
        <v/>
      </c>
      <c r="G27" s="7">
        <f>COUNT('Nilai CPMK per Mahasiswa'!$T$5:$T$34)</f>
        <v/>
      </c>
      <c r="H27" s="7">
        <f>COUNTIF('Nilai CPMK per Mahasiswa'!$T$5:$T$34,"&gt;="&amp;'Bobot CPMK'!$T$18)</f>
        <v/>
      </c>
      <c r="I27" s="16">
        <f>IF(G27=0,"",H27/G27)</f>
        <v/>
      </c>
      <c r="J27" s="7">
        <f>IF(I27="","",IF(I27&gt;='Bobot CPMK'!$T$19,"Tercapai","Belum Tercapai"))</f>
        <v/>
      </c>
    </row>
    <row r="28">
      <c r="A28" s="7">
        <f>IF('Peta CPL'!A6="","",'Peta CPL'!A6)</f>
        <v/>
      </c>
      <c r="B28" s="15">
        <f>IF('Peta CPL'!A6="","",'Peta CPL'!B6)</f>
        <v/>
      </c>
      <c r="C28" s="7">
        <f>SUMPRODUCT('Peta CPL'!$C$14:$C$21,'Peta CPL'!$E$14:$E$21)</f>
        <v/>
      </c>
      <c r="D28" s="7">
        <f>IFERROR(AVERAGEIF('Nilai CPMK per Mahasiswa'!$U$5:$U$34,"&lt;&gt;"),"")</f>
        <v/>
      </c>
      <c r="E28" s="7">
        <f>IFERROR(MAX('Nilai CPMK per Mahasiswa'!$U$5:$U$34),"")</f>
        <v/>
      </c>
      <c r="F28" s="7">
        <f>IFERROR(MIN('Nilai CPMK per Mahasiswa'!$U$5:$U$34),"")</f>
        <v/>
      </c>
      <c r="G28" s="7">
        <f>COUNT('Nilai CPMK per Mahasiswa'!$U$5:$U$34)</f>
        <v/>
      </c>
      <c r="H28" s="7">
        <f>COUNTIF('Nilai CPMK per Mahasiswa'!$U$5:$U$34,"&gt;="&amp;'Bobot CPMK'!$T$18)</f>
        <v/>
      </c>
      <c r="I28" s="16">
        <f>IF(G28=0,"",H28/G28)</f>
        <v/>
      </c>
      <c r="J28" s="7">
        <f>IF(I28="","",IF(I28&gt;='Bobot CPMK'!$T$19,"Tercapai","Belum Tercapai"))</f>
        <v/>
      </c>
    </row>
    <row r="29">
      <c r="A29" s="7">
        <f>IF('Peta CPL'!A7="","",'Peta CPL'!A7)</f>
        <v/>
      </c>
      <c r="B29" s="15">
        <f>IF('Peta CPL'!A7="","",'Peta CPL'!B7)</f>
        <v/>
      </c>
      <c r="C29" s="7">
        <f>SUMPRODUCT('Peta CPL'!$C$14:$C$21,'Peta CPL'!$F$14:$F$21)</f>
        <v/>
      </c>
      <c r="D29" s="7">
        <f>IFERROR(AVERAGEIF('Nilai CPMK per Mahasiswa'!$V$5:$V$34,"&lt;&gt;"),"")</f>
        <v/>
      </c>
      <c r="E29" s="7">
        <f>IFERROR(MAX('Nilai CPMK per Mahasiswa'!$V$5:$V$34),"")</f>
        <v/>
      </c>
      <c r="F29" s="7">
        <f>IFERROR(MIN('Nilai CPMK per Mahasiswa'!$V$5:$V$34),"")</f>
        <v/>
      </c>
      <c r="G29" s="7">
        <f>COUNT('Nilai CPMK per Mahasiswa'!$V$5:$V$34)</f>
        <v/>
      </c>
      <c r="H29" s="7">
        <f>COUNTIF('Nilai CPMK per Mahasiswa'!$V$5:$V$34,"&gt;="&amp;'Bobot CPMK'!$T$18)</f>
        <v/>
      </c>
      <c r="I29" s="16">
        <f>IF(G29=0,"",H29/G29)</f>
        <v/>
      </c>
      <c r="J29" s="7">
        <f>IF(I29="","",IF(I29&gt;='Bobot CPMK'!$T$19,"Tercapai","Belum Tercapai"))</f>
        <v/>
      </c>
    </row>
    <row r="30">
      <c r="A30" s="7">
        <f>IF('Peta CPL'!A8="","",'Peta CPL'!A8)</f>
        <v/>
      </c>
      <c r="B30" s="15">
        <f>IF('Peta CPL'!A8="","",'Peta CPL'!B8)</f>
        <v/>
      </c>
      <c r="C30" s="7">
        <f>SUMPRODUCT('Peta CPL'!$C$14:$C$21,'Peta CPL'!$G$14:$G$21)</f>
        <v/>
      </c>
      <c r="D30" s="7">
        <f>IFERROR(AVERAGEIF('Nilai CPMK per Mahasiswa'!$W$5:$W$34,"&lt;&gt;"),"")</f>
        <v/>
      </c>
      <c r="E30" s="7">
        <f>IFERROR(MAX('Nilai CPMK per Mahasiswa'!$W$5:$W$34),"")</f>
        <v/>
      </c>
      <c r="F30" s="7">
        <f>IFERROR(MIN('Nilai CPMK per Mahasiswa'!$W$5:$W$34),"")</f>
        <v/>
      </c>
      <c r="G30" s="7">
        <f>COUNT('Nilai CPMK per Mahasiswa'!$W$5:$W$34)</f>
        <v/>
      </c>
      <c r="H30" s="7">
        <f>COUNTIF('Nilai CPMK per Mahasiswa'!$W$5:$W$34,"&gt;="&amp;'Bobot CPMK'!$T$18)</f>
        <v/>
      </c>
      <c r="I30" s="16">
        <f>IF(G30=0,"",H30/G30)</f>
        <v/>
      </c>
      <c r="J30" s="7">
        <f>IF(I30="","",IF(I30&gt;='Bobot CPMK'!$T$19,"Tercapai","Belum Tercapai"))</f>
        <v/>
      </c>
    </row>
    <row r="31">
      <c r="A31" s="7">
        <f>IF('Peta CPL'!A9="","",'Peta CPL'!A9)</f>
        <v/>
      </c>
      <c r="B31" s="15">
        <f>IF('Peta CPL'!A9="","",'Peta CPL'!B9)</f>
        <v/>
      </c>
      <c r="C31" s="7">
        <f>SUMPRODUCT('Peta CPL'!$C$14:$C$21,'Peta CPL'!$H$14:$H$21)</f>
        <v/>
      </c>
      <c r="D31" s="7">
        <f>IFERROR(AVERAGEIF('Nilai CPMK per Mahasiswa'!$X$5:$X$34,"&lt;&gt;"),"")</f>
        <v/>
      </c>
      <c r="E31" s="7">
        <f>IFERROR(MAX('Nilai CPMK per Mahasiswa'!$X$5:$X$34),"")</f>
        <v/>
      </c>
      <c r="F31" s="7">
        <f>IFERROR(MIN('Nilai CPMK per Mahasiswa'!$X$5:$X$34),"")</f>
        <v/>
      </c>
      <c r="G31" s="7">
        <f>COUNT('Nilai CPMK per Mahasiswa'!$X$5:$X$34)</f>
        <v/>
      </c>
      <c r="H31" s="7">
        <f>COUNTIF('Nilai CPMK per Mahasiswa'!$X$5:$X$34,"&gt;="&amp;'Bobot CPMK'!$T$18)</f>
        <v/>
      </c>
      <c r="I31" s="16">
        <f>IF(G31=0,"",H31/G31)</f>
        <v/>
      </c>
      <c r="J31" s="7">
        <f>IF(I31="","",IF(I31&gt;='Bobot CPMK'!$T$19,"Tercapai","Belum Tercapai"))</f>
        <v/>
      </c>
    </row>
    <row r="32">
      <c r="A32" s="7">
        <f>IF('Peta CPL'!A10="","",'Peta CPL'!A10)</f>
        <v/>
      </c>
      <c r="B32" s="15">
        <f>IF('Peta CPL'!A10="","",'Peta CPL'!B10)</f>
        <v/>
      </c>
      <c r="C32" s="7">
        <f>SUMPRODUCT('Peta CPL'!$C$14:$C$21,'Peta CPL'!$I$14:$I$21)</f>
        <v/>
      </c>
      <c r="D32" s="7">
        <f>IFERROR(AVERAGEIF('Nilai CPMK per Mahasiswa'!$Y$5:$Y$34,"&lt;&gt;"),"")</f>
        <v/>
      </c>
      <c r="E32" s="7">
        <f>IFERROR(MAX('Nilai CPMK per Mahasiswa'!$Y$5:$Y$34),"")</f>
        <v/>
      </c>
      <c r="F32" s="7">
        <f>IFERROR(MIN('Nilai CPMK per Mahasiswa'!$Y$5:$Y$34),"")</f>
        <v/>
      </c>
      <c r="G32" s="7">
        <f>COUNT('Nilai CPMK per Mahasiswa'!$Y$5:$Y$34)</f>
        <v/>
      </c>
      <c r="H32" s="7">
        <f>COUNTIF('Nilai CPMK per Mahasiswa'!$Y$5:$Y$34,"&gt;="&amp;'Bobot CPMK'!$T$18)</f>
        <v/>
      </c>
      <c r="I32" s="16">
        <f>IF(G32=0,"",H32/G32)</f>
        <v/>
      </c>
      <c r="J32" s="7">
        <f>IF(I32="","",IF(I32&gt;='Bobot CPMK'!$T$19,"Tercapai","Belum Tercapai"))</f>
        <v/>
      </c>
    </row>
    <row r="34">
      <c r="A34" s="13" t="inlineStr">
        <is>
          <t>D. Ringkasan Kelulusan Mata Kuliah</t>
        </is>
      </c>
    </row>
    <row r="35">
      <c r="B35" s="13" t="inlineStr">
        <is>
          <t>Rata-rata Nilai Akhir MK</t>
        </is>
      </c>
      <c r="D35" s="7">
        <f>IFERROR(AVERAGE('Nilai CPMK per Mahasiswa'!$Z$5:$Z$34),"")</f>
        <v/>
      </c>
    </row>
    <row r="36">
      <c r="B36" s="13" t="inlineStr">
        <is>
          <t>Jumlah Mahasiswa Dinilai</t>
        </is>
      </c>
      <c r="D36" s="7">
        <f>COUNT('Nilai CPMK per Mahasiswa'!$Z$5:$Z$34)</f>
        <v/>
      </c>
    </row>
    <row r="37">
      <c r="B37" s="13" t="inlineStr">
        <is>
          <t>Jumlah Lulus</t>
        </is>
      </c>
      <c r="D37" s="7">
        <f>COUNTIF('Input Nilai'!$CA$5:$CA$34,"Lulus")</f>
        <v/>
      </c>
    </row>
    <row r="38">
      <c r="B38" s="13" t="inlineStr">
        <is>
          <t>Jumlah Tidak Lulus</t>
        </is>
      </c>
      <c r="D38" s="7">
        <f>COUNTIF('Input Nilai'!$CA$5:$CA$34,"Tidak Lulus")</f>
        <v/>
      </c>
    </row>
    <row r="39">
      <c r="B39" s="13" t="inlineStr">
        <is>
          <t>% Lulus</t>
        </is>
      </c>
      <c r="D39" s="16">
        <f>IF(D36=0,"",D37/D36)</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2026-09-01T08:23:01Z</dcterms:created>
  <dcterms:modified xmlns:dcterms="http://purl.org/dc/terms/" xmlns:xsi="http://www.w3.org/2001/XMLSchema-instance" xsi:type="dcterms:W3CDTF">2026-09-01T08:23:01Z</dcterms:modified>
</cp:coreProperties>
</file>